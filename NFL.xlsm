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Workbook________"/>
  <mc:AlternateContent xmlns:mc="http://schemas.openxmlformats.org/markup-compatibility/2006">
    <mc:Choice Requires="x15">
      <x15ac:absPath xmlns:x15ac="http://schemas.microsoft.com/office/spreadsheetml/2010/11/ac" url="C:\Users\Mykola.Karpovets\Documents\"/>
    </mc:Choice>
  </mc:AlternateContent>
  <xr:revisionPtr revIDLastSave="0" documentId="13_ncr:1_{F6BBAB07-1D7E-45EF-850E-9D4EA585AEFC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Svodka" sheetId="12" r:id="rId1"/>
    <sheet name="Sheet1" sheetId="1" r:id="rId2"/>
    <sheet name="Лист1" sheetId="2" r:id="rId3"/>
  </sheets>
  <calcPr calcId="181029"/>
</workbook>
</file>

<file path=xl/calcChain.xml><?xml version="1.0" encoding="utf-8"?>
<calcChain xmlns="http://schemas.openxmlformats.org/spreadsheetml/2006/main">
  <c r="P13" i="12" l="1"/>
  <c r="P12" i="12"/>
  <c r="P11" i="12"/>
  <c r="P10" i="12"/>
  <c r="P9" i="12"/>
  <c r="O9" i="12" s="1"/>
  <c r="P8" i="12"/>
  <c r="O8" i="12" s="1"/>
  <c r="P7" i="12"/>
  <c r="O7" i="12" s="1"/>
  <c r="P6" i="12"/>
  <c r="O6" i="12" s="1"/>
  <c r="P5" i="12"/>
  <c r="P4" i="12"/>
  <c r="O4" i="12" s="1"/>
  <c r="P3" i="12"/>
  <c r="O3" i="12" s="1"/>
  <c r="Z3" i="12"/>
  <c r="Z4" i="12"/>
  <c r="Z5" i="12"/>
  <c r="Z6" i="12"/>
  <c r="Z7" i="12"/>
  <c r="Z8" i="12"/>
  <c r="Z9" i="12"/>
  <c r="Z10" i="12"/>
  <c r="Z11" i="12"/>
  <c r="Z12" i="12"/>
  <c r="Z13" i="12"/>
  <c r="S3" i="12"/>
  <c r="S4" i="12"/>
  <c r="S5" i="12"/>
  <c r="S6" i="12"/>
  <c r="S7" i="12"/>
  <c r="S8" i="12"/>
  <c r="S9" i="12"/>
  <c r="S10" i="12"/>
  <c r="S11" i="12"/>
  <c r="S12" i="12"/>
  <c r="S13" i="12"/>
  <c r="R3" i="12"/>
  <c r="R4" i="12"/>
  <c r="R5" i="12"/>
  <c r="R6" i="12"/>
  <c r="R7" i="12"/>
  <c r="R8" i="12"/>
  <c r="R9" i="12"/>
  <c r="R10" i="12"/>
  <c r="R11" i="12"/>
  <c r="R12" i="12"/>
  <c r="R13" i="12"/>
  <c r="N15" i="12"/>
  <c r="M15" i="12"/>
  <c r="L15" i="12"/>
  <c r="K15" i="12"/>
  <c r="D1" i="12" s="1"/>
  <c r="J15" i="12"/>
  <c r="I15" i="12"/>
  <c r="H15" i="12"/>
  <c r="G15" i="12"/>
  <c r="F15" i="12"/>
  <c r="E15" i="12"/>
  <c r="D15" i="12"/>
  <c r="C15" i="12"/>
  <c r="O5" i="12"/>
  <c r="O10" i="12"/>
  <c r="O11" i="12"/>
  <c r="O12" i="12"/>
  <c r="O13" i="12"/>
</calcChain>
</file>

<file path=xl/sharedStrings.xml><?xml version="1.0" encoding="utf-8"?>
<sst xmlns="http://schemas.openxmlformats.org/spreadsheetml/2006/main" count="323" uniqueCount="103">
  <si>
    <t>1/1</t>
  </si>
  <si>
    <t>Data:</t>
  </si>
  <si>
    <t>2025-12-15</t>
  </si>
  <si>
    <t>Brygadzista:</t>
  </si>
  <si>
    <t>Katarzyna Nowak</t>
  </si>
  <si>
    <t>Linia:</t>
  </si>
  <si>
    <t>SUROWIEC</t>
  </si>
  <si>
    <t>PRODUKT</t>
  </si>
  <si>
    <t>BELLY</t>
  </si>
  <si>
    <t>SKÓRA</t>
  </si>
  <si>
    <t>Partia
Data uboju</t>
  </si>
  <si>
    <t>Rozmiar</t>
  </si>
  <si>
    <t>Palety</t>
  </si>
  <si>
    <t>Waga [kg]</t>
  </si>
  <si>
    <t>Indeks</t>
  </si>
  <si>
    <t>Nazwa</t>
  </si>
  <si>
    <t>Wydajność [%]</t>
  </si>
  <si>
    <t>ZS / BS / CMBM</t>
  </si>
  <si>
    <t>6-7</t>
  </si>
  <si>
    <t>F-ASNO-FR-DA-6-7-000-N/ES-1</t>
  </si>
  <si>
    <t>Filet świeży łosoś norweski  trym E  płytko odskórzony 6-7 kg</t>
  </si>
  <si>
    <t>ZS</t>
  </si>
  <si>
    <t>F06_S.ON_FZ</t>
  </si>
  <si>
    <t>3</t>
  </si>
  <si>
    <t>2025-12-09</t>
  </si>
  <si>
    <t>L/5985/25</t>
  </si>
  <si>
    <t>F3-FR4</t>
  </si>
  <si>
    <t>L/5967/25/GG</t>
  </si>
  <si>
    <t>p10 b26</t>
  </si>
  <si>
    <t>2025-12-11</t>
  </si>
  <si>
    <t>F-ASNO-FR-DR-2-3-GGC-Y/ES-1</t>
  </si>
  <si>
    <t>Filet świeży łosoś norweski GG trym E  płytko odskórzony 2-3 kg</t>
  </si>
  <si>
    <t xml:space="preserve"> Mleczan sodu</t>
  </si>
  <si>
    <t>F12_GG_BOS_S.ON_FZ</t>
  </si>
  <si>
    <t>F12_GG_S.ON_FZ</t>
  </si>
  <si>
    <t>F-ASNO-FR-DR-2-3-GGC-N/C0-1</t>
  </si>
  <si>
    <t>Filet świeży łosoś norweski GG trym C 2-3 kg</t>
  </si>
  <si>
    <t>0 - ze skórą</t>
  </si>
  <si>
    <t>MI9091</t>
  </si>
  <si>
    <t>p1 b19</t>
  </si>
  <si>
    <t>F-ASNO-FR-DR-6-7-000-N/D0-1</t>
  </si>
  <si>
    <t>Filet świeży łosoś norweski  trym D 6-7 kg</t>
  </si>
  <si>
    <t>NFLD003GG/M</t>
  </si>
  <si>
    <t>L/5990/25/GG</t>
  </si>
  <si>
    <t>4-5</t>
  </si>
  <si>
    <t>p1 b0</t>
  </si>
  <si>
    <t>2025-12-10</t>
  </si>
  <si>
    <t>0</t>
  </si>
  <si>
    <t>1</t>
  </si>
  <si>
    <t>F-ASNO-FR-DR-4-5-GGC-Y/ES-1</t>
  </si>
  <si>
    <t>Filet świeży łosoś norweski GG trym E  płytko odskórzony 4-5 kg</t>
  </si>
  <si>
    <t>F-ASNO-FR-DR-4-5-GGC-N/C0-1</t>
  </si>
  <si>
    <t>Filet świeży łosoś norweski GG trym C 4-5 kg</t>
  </si>
  <si>
    <t>MI9038_MHD</t>
  </si>
  <si>
    <t>F-ASNO-FR-DR-4-5-GGC-N/D0-1</t>
  </si>
  <si>
    <t>Filet świeży łosoś norweski GG trym D 4-5 kg</t>
  </si>
  <si>
    <t>NFL2014-4-5/M</t>
  </si>
  <si>
    <t>5-6</t>
  </si>
  <si>
    <t>F-ASNO-FR-DR-5-6-GGC-Y/ES-1</t>
  </si>
  <si>
    <t>Filet świeży łosoś norweski GG trym E  płytko odskórzony 5-6 kg</t>
  </si>
  <si>
    <t>F-ASNO-FR-DR-5-6-GGC-N/D0-1</t>
  </si>
  <si>
    <t>Filet świeży łosoś norweski GG trym D 5-6 kg</t>
  </si>
  <si>
    <t>NFLD008DE-5-6</t>
  </si>
  <si>
    <t>F-ASNO-FR-DR-5-6-GGC-N/C0-1</t>
  </si>
  <si>
    <t>Filet świeży łosoś norweski GG trym C 5-6 kg</t>
  </si>
  <si>
    <t>NFLHORECAPL</t>
  </si>
  <si>
    <t>L/5997/25</t>
  </si>
  <si>
    <t>p10 b0</t>
  </si>
  <si>
    <t>F06_BOS_S.ON_FZ</t>
  </si>
  <si>
    <t>NFL2014-5-6</t>
  </si>
  <si>
    <t>L/TEST_END</t>
  </si>
  <si>
    <t>Mykola Karpovets</t>
  </si>
  <si>
    <t xml:space="preserve"> </t>
  </si>
  <si>
    <t>defd</t>
  </si>
  <si>
    <t>dd</t>
  </si>
  <si>
    <t>PARTIA</t>
  </si>
  <si>
    <t>ROZMIAR</t>
  </si>
  <si>
    <t>S.ON_FZ</t>
  </si>
  <si>
    <t>BOS_FZ</t>
  </si>
  <si>
    <t>D-TRYM</t>
  </si>
  <si>
    <t>C-TRYM</t>
  </si>
  <si>
    <t>A-TRYM</t>
  </si>
  <si>
    <t>E-TRYM</t>
  </si>
  <si>
    <t>Wydajnosc wysortow [%]</t>
  </si>
  <si>
    <t>Linia</t>
  </si>
  <si>
    <t>Brygadzista</t>
  </si>
  <si>
    <t>WYSORT Z NFL</t>
  </si>
  <si>
    <t>0-2</t>
  </si>
  <si>
    <t>2-3</t>
  </si>
  <si>
    <t>3-4</t>
  </si>
  <si>
    <t>7++</t>
  </si>
  <si>
    <t>SUMMA</t>
  </si>
  <si>
    <t>D-TRYM MACRO</t>
  </si>
  <si>
    <t>C-TRYM MACRO</t>
  </si>
  <si>
    <t>E-TRYM MACRO</t>
  </si>
  <si>
    <t>F153_Y</t>
  </si>
  <si>
    <t>PBS</t>
  </si>
  <si>
    <t>WAGA BELLY</t>
  </si>
  <si>
    <t>BOS S.ON_FZ</t>
  </si>
  <si>
    <t>03.02.2025</t>
  </si>
  <si>
    <t>07.06.2025</t>
  </si>
  <si>
    <t>SC</t>
  </si>
  <si>
    <t>KAT-3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</si>
</sst>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 x14ac:knownFonts="1">
    <font>
      <sz val="10"/>
      <color indexed="8"/>
      <name val="ARIAL"/>
      <charset val="1"/>
    </font>
    <font>
      <sz val="13"/>
      <color indexed="8"/>
      <name val="Times New Roman"/>
      <family val="1"/>
      <charset val="238"/>
    </font>
    <font>
      <b/>
      <sz val="9"/>
      <color indexed="8"/>
      <name val="Arial"/>
      <family val="2"/>
      <charset val="238"/>
    </font>
    <font>
      <sz val="10"/>
      <color indexed="8"/>
      <name val="Arial"/>
      <family val="2"/>
      <charset val="238"/>
    </font>
    <font>
      <b/>
      <sz val="8"/>
      <color indexed="8"/>
      <name val="Arial"/>
      <family val="2"/>
      <charset val="238"/>
    </font>
    <font>
      <sz val="8"/>
      <color indexed="8"/>
      <name val="Arial"/>
      <family val="2"/>
      <charset val="238"/>
    </font>
    <font>
      <sz val="8"/>
      <color indexed="8"/>
      <name val="Tahoma"/>
      <family val="2"/>
      <charset val="238"/>
    </font>
    <font>
      <sz val="10"/>
      <color indexed="8"/>
      <name val="Arial"/>
      <family val="2"/>
      <charset val="238"/>
    </font>
    <font>
      <b/>
      <sz val="10"/>
      <color indexed="8"/>
      <name val="Arial"/>
      <family val="2"/>
      <charset val="238"/>
    </font>
    <font>
      <b/>
      <sz val="20"/>
      <color indexed="8"/>
      <name val="Calibri"/>
      <family val="2"/>
      <charset val="238"/>
    </font>
    <font>
      <sz val="13"/>
      <color indexed="8"/>
      <name val="Calibri"/>
      <family val="2"/>
      <charset val="238"/>
    </font>
    <font>
      <b/>
      <sz val="13"/>
      <color indexed="8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rgb="FFD9D9D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54997405926694543"/>
        <bgColor indexed="64"/>
      </patternFill>
    </fill>
    <fill>
      <patternFill patternType="solid">
        <fgColor rgb="FFF2F2F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top"/>
    </xf>
  </cellStyleXfs>
  <cellXfs count="59">
    <xf numFmtId="0" fontId="0" fillId="0" borderId="0" xfId="0">
      <alignment vertical="top"/>
    </xf>
    <xf numFmtId="0" fontId="1" fillId="2" borderId="0" xfId="0" applyFont="1" applyFill="1" applyAlignment="1">
      <alignment horizontal="left" vertical="top"/>
    </xf>
    <xf numFmtId="0" fontId="2" fillId="0" borderId="0" xfId="0" applyFont="1" applyAlignment="1">
      <alignment horizontal="right" vertical="top"/>
    </xf>
    <xf numFmtId="0" fontId="3" fillId="0" borderId="0" xfId="0" applyFont="1">
      <alignment vertical="top"/>
    </xf>
    <xf numFmtId="0" fontId="2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4" fontId="5" fillId="0" borderId="2" xfId="0" applyNumberFormat="1" applyFont="1" applyBorder="1" applyAlignment="1">
      <alignment horizontal="center" vertical="top"/>
    </xf>
    <xf numFmtId="2" fontId="5" fillId="0" borderId="3" xfId="0" applyNumberFormat="1" applyFont="1" applyBorder="1" applyAlignment="1">
      <alignment horizontal="center" vertical="top"/>
    </xf>
    <xf numFmtId="0" fontId="5" fillId="0" borderId="4" xfId="0" applyFont="1" applyBorder="1" applyAlignment="1">
      <alignment horizontal="center" vertical="top"/>
    </xf>
    <xf numFmtId="0" fontId="0" fillId="0" borderId="5" xfId="0" applyBorder="1">
      <alignment vertical="top"/>
    </xf>
    <xf numFmtId="0" fontId="0" fillId="0" borderId="4" xfId="0" applyBorder="1">
      <alignment vertical="top"/>
    </xf>
    <xf numFmtId="0" fontId="5" fillId="0" borderId="5" xfId="0" applyFont="1" applyBorder="1" applyAlignment="1">
      <alignment horizontal="center" vertical="top"/>
    </xf>
    <xf numFmtId="4" fontId="5" fillId="0" borderId="5" xfId="0" applyNumberFormat="1" applyFont="1" applyBorder="1" applyAlignment="1">
      <alignment horizontal="center" vertical="top"/>
    </xf>
    <xf numFmtId="0" fontId="0" fillId="0" borderId="6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5" fillId="0" borderId="7" xfId="0" applyFont="1" applyBorder="1" applyAlignment="1">
      <alignment horizontal="right" vertical="top"/>
    </xf>
    <xf numFmtId="4" fontId="5" fillId="0" borderId="8" xfId="0" applyNumberFormat="1" applyFont="1" applyBorder="1" applyAlignment="1">
      <alignment horizontal="center" vertical="top"/>
    </xf>
    <xf numFmtId="0" fontId="0" fillId="0" borderId="3" xfId="0" applyBorder="1">
      <alignment vertical="top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16" fontId="5" fillId="0" borderId="2" xfId="0" applyNumberFormat="1" applyFont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right" vertical="top"/>
    </xf>
    <xf numFmtId="4" fontId="5" fillId="0" borderId="0" xfId="0" applyNumberFormat="1" applyFont="1" applyAlignment="1">
      <alignment horizontal="center" vertical="top"/>
    </xf>
    <xf numFmtId="49" fontId="0" fillId="0" borderId="0" xfId="0" applyNumberFormat="1">
      <alignment vertical="top"/>
    </xf>
    <xf numFmtId="2" fontId="0" fillId="0" borderId="0" xfId="0" applyNumberFormat="1">
      <alignment vertical="top"/>
    </xf>
    <xf numFmtId="0" fontId="8" fillId="0" borderId="0" xfId="0" applyFont="1">
      <alignment vertical="top"/>
    </xf>
    <xf numFmtId="49" fontId="8" fillId="0" borderId="0" xfId="0" applyNumberFormat="1" applyFont="1">
      <alignment vertical="top"/>
    </xf>
    <xf numFmtId="2" fontId="8" fillId="0" borderId="0" xfId="0" applyNumberFormat="1" applyFont="1">
      <alignment vertical="top"/>
    </xf>
    <xf numFmtId="1" fontId="9" fillId="0" borderId="9" xfId="0" applyNumberFormat="1" applyFont="1" applyBorder="1">
      <alignment vertical="top"/>
    </xf>
    <xf numFmtId="0" fontId="10" fillId="0" borderId="0" xfId="0" applyFont="1">
      <alignment vertical="top"/>
    </xf>
    <xf numFmtId="0" fontId="11" fillId="0" borderId="0" xfId="0" applyFont="1">
      <alignment vertical="top"/>
    </xf>
    <xf numFmtId="0" fontId="11" fillId="3" borderId="0" xfId="0" applyFont="1" applyFill="1" applyAlignment="1">
      <alignment horizontal="center" vertical="center"/>
    </xf>
    <xf numFmtId="164" fontId="11" fillId="3" borderId="9" xfId="0" applyNumberFormat="1" applyFont="1" applyFill="1" applyBorder="1" applyAlignment="1">
      <alignment horizontal="center" vertical="center"/>
    </xf>
    <xf numFmtId="164" fontId="11" fillId="4" borderId="9" xfId="0" applyNumberFormat="1" applyFont="1" applyFill="1" applyBorder="1" applyAlignment="1">
      <alignment horizontal="centerContinuous" vertical="center"/>
    </xf>
    <xf numFmtId="164" fontId="10" fillId="0" borderId="9" xfId="0" applyNumberFormat="1" applyFont="1" applyBorder="1">
      <alignment vertical="top"/>
    </xf>
    <xf numFmtId="0" fontId="10" fillId="6" borderId="0" xfId="0" applyFont="1" applyFill="1">
      <alignment vertical="top"/>
    </xf>
    <xf numFmtId="2" fontId="10" fillId="0" borderId="9" xfId="0" applyNumberFormat="1" applyFont="1" applyBorder="1">
      <alignment vertical="top"/>
    </xf>
    <xf numFmtId="0" fontId="11" fillId="3" borderId="9" xfId="0" applyFont="1" applyFill="1" applyBorder="1" applyAlignment="1">
      <alignment horizontal="left" vertical="center" wrapText="1"/>
    </xf>
    <xf numFmtId="1" fontId="0" fillId="0" borderId="0" xfId="0" applyNumberFormat="1">
      <alignment vertical="top"/>
    </xf>
    <xf numFmtId="1" fontId="10" fillId="0" borderId="0" xfId="0" applyNumberFormat="1" applyFont="1">
      <alignment vertical="top"/>
    </xf>
    <xf numFmtId="0" fontId="10" fillId="0" borderId="9" xfId="0" applyFont="1" applyBorder="1">
      <alignment vertical="top"/>
    </xf>
    <xf numFmtId="0" fontId="11" fillId="3" borderId="9" xfId="0" applyFont="1" applyFill="1" applyBorder="1">
      <alignment vertical="top"/>
    </xf>
    <xf numFmtId="49" fontId="11" fillId="3" borderId="9" xfId="0" applyNumberFormat="1" applyFont="1" applyFill="1" applyBorder="1">
      <alignment vertical="top"/>
    </xf>
    <xf numFmtId="0" fontId="10" fillId="5" borderId="9" xfId="0" applyFont="1" applyFill="1" applyBorder="1">
      <alignment vertical="top"/>
    </xf>
    <xf numFmtId="0" fontId="10" fillId="6" borderId="9" xfId="0" applyFont="1" applyFill="1" applyBorder="1">
      <alignment vertical="top"/>
    </xf>
    <xf numFmtId="0" fontId="11" fillId="3" borderId="9" xfId="0" applyFont="1" applyFill="1" applyBorder="1" applyAlignment="1">
      <alignment horizontal="center" vertical="center"/>
    </xf>
    <xf numFmtId="0" fontId="11" fillId="0" borderId="9" xfId="0" applyFont="1" applyBorder="1">
      <alignment vertical="top"/>
    </xf>
    <xf numFmtId="164" fontId="10" fillId="0" borderId="11" xfId="0" applyNumberFormat="1" applyFont="1" applyBorder="1">
      <alignment vertical="top"/>
    </xf>
    <xf numFmtId="0" fontId="10" fillId="0" borderId="12" xfId="0" applyFont="1" applyBorder="1">
      <alignment vertical="top"/>
    </xf>
    <xf numFmtId="0" fontId="11" fillId="3" borderId="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/>
    </xf>
  </cellXfs>
  <cellStyles count="1">
    <cellStyle name="Normalny" xfId="0" builtinId="0"/>
  </cellStyles>
  <dxfs count="6">
    <dxf>
      <font>
        <b val="0"/>
        <i val="0"/>
        <color rgb="FF8B0000"/>
      </font>
      <fill>
        <patternFill patternType="solid">
          <bgColor rgb="FFFFC7C7"/>
        </patternFill>
      </fill>
    </dxf>
    <dxf>
      <fill>
        <patternFill patternType="solid">
          <bgColor rgb="FFD9D9D9"/>
        </patternFill>
      </fill>
    </dxf>
    <dxf>
      <font>
        <color rgb="FFFFFFFF"/>
      </font>
    </dxf>
    <dxf>
      <font>
        <color rgb="FF000000"/>
      </font>
      <fill>
        <patternFill>
          <bgColor rgb="FF9BC2E6"/>
        </patternFill>
      </fill>
    </dxf>
    <dxf>
      <font>
        <color theme="1"/>
      </font>
      <fill>
        <patternFill>
          <fgColor indexed="64"/>
          <bgColor theme="4" tint="0.59996337778862885"/>
        </patternFill>
      </fill>
    </dxf>
    <dxf>
      <font>
        <color theme="1"/>
      </font>
      <fill>
        <patternFill>
          <fgColor indexed="64"/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209550</xdr:colOff>
      <xdr:row>1</xdr:row>
      <xdr:rowOff>0</xdr:rowOff>
    </xdr:to>
    <xdr:pic>
      <xdr:nvPicPr>
        <xdr:cNvPr id="4" name="Picture -76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3100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209550</xdr:colOff>
      <xdr:row>1</xdr:row>
      <xdr:rowOff>0</xdr:rowOff>
    </xdr:to>
    <xdr:pic>
      <xdr:nvPicPr>
        <xdr:cNvPr id="3" name="Picture -76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3100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/>
  <dimension ref="A1:AB17"/>
  <sheetViews>
    <sheetView tabSelected="1" workbookViewId="0">
      <selection activeCell="K20" sqref="K20"/>
    </sheetView>
  </sheetViews>
  <sheetFormatPr defaultRowHeight="12.75" x14ac:dyDescent="0.2"/>
  <cols>
    <col min="1" max="1" width="16.28515625" style="30" bestFit="1" customWidth="1"/>
    <col min="2" max="2" width="13" style="30" bestFit="1" customWidth="1"/>
    <col min="3" max="3" width="12.42578125" bestFit="1" customWidth="1"/>
    <col min="4" max="4" width="10.7109375" customWidth="1"/>
    <col min="5" max="5" width="9.85546875" bestFit="1" customWidth="1"/>
    <col min="6" max="6" width="9" bestFit="1" customWidth="1"/>
    <col min="7" max="7" width="9.5703125" bestFit="1" customWidth="1"/>
    <col min="8" max="8" width="10.28515625" bestFit="1" customWidth="1"/>
    <col min="9" max="9" width="9.42578125" bestFit="1" customWidth="1"/>
    <col min="10" max="10" width="9.140625" bestFit="1" customWidth="1"/>
    <col min="11" max="11" width="10.28515625" bestFit="1" customWidth="1"/>
    <col min="12" max="13" width="9.28515625" bestFit="1" customWidth="1"/>
    <col min="14" max="14" width="8.7109375" bestFit="1" customWidth="1"/>
    <col min="15" max="15" width="8.7109375" customWidth="1"/>
    <col min="16" max="16" width="10.140625" bestFit="1" customWidth="1"/>
    <col min="17" max="17" width="8.140625" customWidth="1"/>
    <col min="18" max="18" width="7.42578125" bestFit="1" customWidth="1"/>
    <col min="19" max="19" width="8.28515625" bestFit="1" customWidth="1"/>
    <col min="20" max="20" width="19.5703125" bestFit="1" customWidth="1"/>
    <col min="21" max="21" width="2.5703125" customWidth="1"/>
    <col min="22" max="22" width="6.42578125" customWidth="1"/>
    <col min="23" max="23" width="2.5703125" customWidth="1"/>
    <col min="24" max="24" width="7.7109375" customWidth="1"/>
    <col min="25" max="25" width="2.5703125" customWidth="1"/>
    <col min="26" max="26" width="8.7109375" bestFit="1" customWidth="1"/>
    <col min="27" max="27" width="4.28515625" bestFit="1" customWidth="1"/>
    <col min="28" max="28" width="5.5703125" bestFit="1" customWidth="1"/>
  </cols>
  <sheetData>
    <row r="1" spans="1:28" s="30" customFormat="1" ht="17.25" x14ac:dyDescent="0.2">
      <c r="A1" s="37">
        <v>0.12</v>
      </c>
      <c r="B1" s="54" t="s">
        <v>86</v>
      </c>
      <c r="C1" s="58"/>
      <c r="D1" s="38">
        <f>IFERROR(SUM(D3:D17,F3:F17)/SUM(G3:N17),"")</f>
        <v>0.18139914180801658</v>
      </c>
      <c r="E1" s="36"/>
      <c r="F1" s="37">
        <v>0.69</v>
      </c>
      <c r="G1" s="37">
        <v>0.69</v>
      </c>
      <c r="H1" s="37">
        <v>0.73499999999999999</v>
      </c>
      <c r="I1" s="37">
        <v>0.76</v>
      </c>
      <c r="J1" s="37">
        <v>0.59</v>
      </c>
      <c r="K1" s="37">
        <v>0.67</v>
      </c>
      <c r="L1" s="37">
        <v>0.72</v>
      </c>
      <c r="M1" s="37">
        <v>0.56999999999999995</v>
      </c>
      <c r="N1" s="37">
        <v>0.75</v>
      </c>
      <c r="O1" s="56" t="s">
        <v>83</v>
      </c>
      <c r="P1" s="56"/>
      <c r="Q1" s="35"/>
      <c r="R1" s="35"/>
      <c r="S1" s="35"/>
      <c r="T1" s="35"/>
      <c r="U1" s="54" t="s">
        <v>97</v>
      </c>
      <c r="V1" s="54"/>
      <c r="W1" s="54"/>
      <c r="X1" s="54"/>
      <c r="Y1" s="54"/>
      <c r="Z1" s="55"/>
      <c r="AA1" s="31" t="s">
        <v>87</v>
      </c>
      <c r="AB1" s="32">
        <v>76.099999999999994</v>
      </c>
    </row>
    <row r="2" spans="1:28" s="30" customFormat="1" ht="34.5" x14ac:dyDescent="0.2">
      <c r="A2" s="50" t="s">
        <v>75</v>
      </c>
      <c r="B2" s="50" t="s">
        <v>76</v>
      </c>
      <c r="C2" s="50" t="s">
        <v>6</v>
      </c>
      <c r="D2" s="42" t="s">
        <v>98</v>
      </c>
      <c r="E2" s="50" t="s">
        <v>77</v>
      </c>
      <c r="F2" s="50" t="s">
        <v>78</v>
      </c>
      <c r="G2" s="50" t="s">
        <v>79</v>
      </c>
      <c r="H2" s="50" t="s">
        <v>80</v>
      </c>
      <c r="I2" s="50" t="s">
        <v>81</v>
      </c>
      <c r="J2" s="50" t="s">
        <v>82</v>
      </c>
      <c r="K2" s="42" t="s">
        <v>92</v>
      </c>
      <c r="L2" s="42" t="s">
        <v>93</v>
      </c>
      <c r="M2" s="42" t="s">
        <v>94</v>
      </c>
      <c r="N2" s="42" t="s">
        <v>95</v>
      </c>
      <c r="O2" s="56"/>
      <c r="P2" s="57"/>
      <c r="Q2" s="50" t="s">
        <v>84</v>
      </c>
      <c r="R2" s="35"/>
      <c r="S2" s="35"/>
      <c r="T2" s="50" t="s">
        <v>85</v>
      </c>
      <c r="U2" s="50">
        <v>0</v>
      </c>
      <c r="V2" s="50">
        <v>1</v>
      </c>
      <c r="W2" s="50">
        <v>2</v>
      </c>
      <c r="X2" s="50">
        <v>3</v>
      </c>
      <c r="Y2" s="50">
        <v>6</v>
      </c>
      <c r="Z2" s="51" t="s">
        <v>96</v>
      </c>
      <c r="AA2" s="31" t="s">
        <v>88</v>
      </c>
      <c r="AB2" s="32">
        <v>76.099999999999994</v>
      </c>
    </row>
    <row r="3" spans="1:28" ht="26.25" x14ac:dyDescent="0.2">
      <c r="A3" s="46" t="s">
        <v>27</v>
      </c>
      <c r="B3" s="47" t="s">
        <v>99</v>
      </c>
      <c r="C3" s="48">
        <v>6489.33</v>
      </c>
      <c r="D3" s="45">
        <v>488</v>
      </c>
      <c r="E3" s="45">
        <v>206</v>
      </c>
      <c r="F3" s="34"/>
      <c r="G3" s="45">
        <v>0</v>
      </c>
      <c r="H3" s="45">
        <v>2208.48</v>
      </c>
      <c r="I3" s="45">
        <v>0</v>
      </c>
      <c r="J3" s="45">
        <v>0</v>
      </c>
      <c r="K3" s="34"/>
      <c r="L3" s="34"/>
      <c r="M3" s="34"/>
      <c r="N3" s="34"/>
      <c r="O3" s="52" t="e">
        <f t="shared" ref="O3:O13" si="0">($D3+$E3+$P3)/($C3-(($G3/$G$1)+($H3/$H$1)+($I3/$I$1)+($J3/$J$1)+($F3/$F$1)+($K3/$K$1)+($L3/$L$1)+($M3/$M$1)+($N3/$N$1)))</f>
        <v>#N/A</v>
      </c>
      <c r="P3" s="33" t="e">
        <f t="shared" ref="P3:P13" si="1">(VLOOKUP($B3,$AA$1:$AB$7,2,FALSE)/100)*($C3-(($G3/$G$1)+($H3/$H$1)+($I3/$I$1)+($J3/$J$1)+($F3/$F$1)+($K3/$K$1)+($L3/$L$1)+($M3/$M$1)+($N3/$N$1)))-$D3-$E3</f>
        <v>#N/A</v>
      </c>
      <c r="Q3" s="53" t="s">
        <v>26</v>
      </c>
      <c r="R3" s="39">
        <f t="shared" ref="R3:R13" si="2">($D3+$F3)/SUM($G3:$N3)</f>
        <v>0.22096645656741287</v>
      </c>
      <c r="S3" s="41">
        <f t="shared" ref="S3:S13" si="3">$A$1*SUM($G3:$N3)</f>
        <v>265.01760000000002</v>
      </c>
      <c r="T3" s="45" t="s">
        <v>4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39">
        <f t="shared" ref="Z3:Z13" si="4">SUM($D3:$N3)/$C3</f>
        <v>0.44726959485802081</v>
      </c>
      <c r="AA3" s="28" t="s">
        <v>89</v>
      </c>
      <c r="AB3" s="29">
        <v>79.099999999999994</v>
      </c>
    </row>
    <row r="4" spans="1:28" ht="26.25" x14ac:dyDescent="0.2">
      <c r="A4" s="46" t="s">
        <v>25</v>
      </c>
      <c r="B4" s="47" t="s">
        <v>100</v>
      </c>
      <c r="C4" s="48">
        <v>880</v>
      </c>
      <c r="D4" s="34"/>
      <c r="E4" s="45">
        <v>230</v>
      </c>
      <c r="F4" s="34"/>
      <c r="G4" s="45">
        <v>0</v>
      </c>
      <c r="H4" s="45">
        <v>0</v>
      </c>
      <c r="I4" s="45">
        <v>0</v>
      </c>
      <c r="J4" s="45">
        <v>0</v>
      </c>
      <c r="K4" s="45">
        <v>381.67</v>
      </c>
      <c r="L4" s="34"/>
      <c r="M4" s="34"/>
      <c r="N4" s="34"/>
      <c r="O4" s="52" t="e">
        <f t="shared" si="0"/>
        <v>#N/A</v>
      </c>
      <c r="P4" s="33" t="e">
        <f t="shared" si="1"/>
        <v>#N/A</v>
      </c>
      <c r="Q4" s="53" t="s">
        <v>26</v>
      </c>
      <c r="R4" s="39">
        <f t="shared" si="2"/>
        <v>0</v>
      </c>
      <c r="S4" s="41">
        <f t="shared" si="3"/>
        <v>45.800400000000003</v>
      </c>
      <c r="T4" s="45" t="s">
        <v>4</v>
      </c>
      <c r="U4" s="45">
        <v>0</v>
      </c>
      <c r="V4" s="45">
        <v>0</v>
      </c>
      <c r="W4" s="45">
        <v>0</v>
      </c>
      <c r="X4" s="45">
        <v>44</v>
      </c>
      <c r="Y4" s="45">
        <v>0</v>
      </c>
      <c r="Z4" s="39">
        <f t="shared" si="4"/>
        <v>0.69507954545454553</v>
      </c>
      <c r="AA4" s="28" t="s">
        <v>44</v>
      </c>
      <c r="AB4" s="29">
        <v>77.099999999999994</v>
      </c>
    </row>
    <row r="5" spans="1:28" ht="26.25" x14ac:dyDescent="0.2">
      <c r="A5" s="46" t="s">
        <v>43</v>
      </c>
      <c r="B5" s="47" t="s">
        <v>44</v>
      </c>
      <c r="C5" s="48">
        <v>593.17999999999995</v>
      </c>
      <c r="D5" s="34"/>
      <c r="E5" s="45">
        <v>268.5</v>
      </c>
      <c r="F5" s="34"/>
      <c r="G5" s="45">
        <v>135.34</v>
      </c>
      <c r="H5" s="45">
        <v>41.62</v>
      </c>
      <c r="I5" s="45">
        <v>0</v>
      </c>
      <c r="J5" s="45">
        <v>0</v>
      </c>
      <c r="K5" s="34"/>
      <c r="L5" s="34"/>
      <c r="M5" s="34"/>
      <c r="N5" s="34"/>
      <c r="O5" s="52">
        <f t="shared" si="0"/>
        <v>0.7709999999999998</v>
      </c>
      <c r="P5" s="33">
        <f t="shared" si="1"/>
        <v>-6.0444897426797866</v>
      </c>
      <c r="Q5" s="53" t="s">
        <v>26</v>
      </c>
      <c r="R5" s="39">
        <f t="shared" si="2"/>
        <v>0</v>
      </c>
      <c r="S5" s="41">
        <f t="shared" si="3"/>
        <v>21.235199999999999</v>
      </c>
      <c r="T5" s="45" t="s">
        <v>4</v>
      </c>
      <c r="U5" s="45">
        <v>2</v>
      </c>
      <c r="V5" s="45">
        <v>13.5</v>
      </c>
      <c r="W5" s="45">
        <v>0</v>
      </c>
      <c r="X5" s="45">
        <v>0</v>
      </c>
      <c r="Y5" s="45">
        <v>0</v>
      </c>
      <c r="Z5" s="39">
        <f t="shared" si="4"/>
        <v>0.75096935163019674</v>
      </c>
      <c r="AA5" s="28" t="s">
        <v>57</v>
      </c>
      <c r="AB5" s="29">
        <v>76.099999999999994</v>
      </c>
    </row>
    <row r="6" spans="1:28" ht="26.25" x14ac:dyDescent="0.2">
      <c r="A6" s="46" t="s">
        <v>43</v>
      </c>
      <c r="B6" s="47" t="s">
        <v>57</v>
      </c>
      <c r="C6" s="48">
        <v>570.55999999999995</v>
      </c>
      <c r="D6" s="34"/>
      <c r="E6" s="45">
        <v>1003</v>
      </c>
      <c r="F6" s="34"/>
      <c r="G6" s="45">
        <v>78.3</v>
      </c>
      <c r="H6" s="45">
        <v>132.27000000000001</v>
      </c>
      <c r="I6" s="45">
        <v>0</v>
      </c>
      <c r="J6" s="45">
        <v>0</v>
      </c>
      <c r="K6" s="34"/>
      <c r="L6" s="34"/>
      <c r="M6" s="34"/>
      <c r="N6" s="34"/>
      <c r="O6" s="52">
        <f t="shared" si="0"/>
        <v>0.76099999999999979</v>
      </c>
      <c r="P6" s="33">
        <f t="shared" si="1"/>
        <v>-792.10973529724947</v>
      </c>
      <c r="Q6" s="53" t="s">
        <v>26</v>
      </c>
      <c r="R6" s="39">
        <f t="shared" si="2"/>
        <v>0</v>
      </c>
      <c r="S6" s="41">
        <f t="shared" si="3"/>
        <v>25.2684</v>
      </c>
      <c r="T6" s="45" t="s">
        <v>4</v>
      </c>
      <c r="U6" s="45">
        <v>2</v>
      </c>
      <c r="V6" s="45">
        <v>12</v>
      </c>
      <c r="W6" s="45">
        <v>0</v>
      </c>
      <c r="X6" s="45">
        <v>0</v>
      </c>
      <c r="Y6" s="45">
        <v>0</v>
      </c>
      <c r="Z6" s="39">
        <f t="shared" si="4"/>
        <v>2.1269805103757711</v>
      </c>
      <c r="AA6" s="28" t="s">
        <v>18</v>
      </c>
      <c r="AB6" s="29">
        <v>74.099999999999994</v>
      </c>
    </row>
    <row r="7" spans="1:28" ht="26.25" x14ac:dyDescent="0.2">
      <c r="A7" s="46" t="s">
        <v>66</v>
      </c>
      <c r="B7" s="47" t="s">
        <v>18</v>
      </c>
      <c r="C7" s="48">
        <v>5190.6000000000004</v>
      </c>
      <c r="D7" s="45">
        <v>523</v>
      </c>
      <c r="E7" s="45">
        <v>578</v>
      </c>
      <c r="F7" s="34"/>
      <c r="G7" s="45">
        <v>147.43</v>
      </c>
      <c r="H7" s="45">
        <v>0</v>
      </c>
      <c r="I7" s="45">
        <v>0</v>
      </c>
      <c r="J7" s="45">
        <v>0</v>
      </c>
      <c r="K7" s="45">
        <v>2342.9499999999998</v>
      </c>
      <c r="L7" s="34"/>
      <c r="M7" s="34"/>
      <c r="N7" s="34"/>
      <c r="O7" s="52">
        <f t="shared" si="0"/>
        <v>0.74099999999999999</v>
      </c>
      <c r="P7" s="33">
        <f t="shared" si="1"/>
        <v>-4.3251611940290786</v>
      </c>
      <c r="Q7" s="53" t="s">
        <v>26</v>
      </c>
      <c r="R7" s="39">
        <f t="shared" si="2"/>
        <v>0.2100081112119436</v>
      </c>
      <c r="S7" s="41">
        <f t="shared" si="3"/>
        <v>298.84559999999993</v>
      </c>
      <c r="T7" s="45" t="s">
        <v>4</v>
      </c>
      <c r="U7" s="45">
        <v>0</v>
      </c>
      <c r="V7" s="45">
        <v>11.5</v>
      </c>
      <c r="W7" s="45">
        <v>0</v>
      </c>
      <c r="X7" s="45">
        <v>271.5</v>
      </c>
      <c r="Y7" s="45">
        <v>0</v>
      </c>
      <c r="Z7" s="39">
        <f t="shared" si="4"/>
        <v>0.69190074365198628</v>
      </c>
      <c r="AA7" s="28" t="s">
        <v>90</v>
      </c>
      <c r="AB7" s="29">
        <v>72.099999999999994</v>
      </c>
    </row>
    <row r="8" spans="1:28" ht="26.25" x14ac:dyDescent="0.2">
      <c r="A8" s="46" t="s">
        <v>27</v>
      </c>
      <c r="B8" s="47" t="s">
        <v>99</v>
      </c>
      <c r="C8" s="48">
        <v>6489.33</v>
      </c>
      <c r="D8" s="45">
        <v>488</v>
      </c>
      <c r="E8" s="45">
        <v>206</v>
      </c>
      <c r="F8" s="34"/>
      <c r="G8" s="45">
        <v>0</v>
      </c>
      <c r="H8" s="45">
        <v>2208.48</v>
      </c>
      <c r="I8" s="45">
        <v>0</v>
      </c>
      <c r="J8" s="45">
        <v>0</v>
      </c>
      <c r="K8" s="34"/>
      <c r="L8" s="34"/>
      <c r="M8" s="34"/>
      <c r="N8" s="34"/>
      <c r="O8" s="52" t="e">
        <f t="shared" si="0"/>
        <v>#N/A</v>
      </c>
      <c r="P8" s="33" t="e">
        <f t="shared" si="1"/>
        <v>#N/A</v>
      </c>
      <c r="Q8" s="53" t="s">
        <v>26</v>
      </c>
      <c r="R8" s="39">
        <f t="shared" si="2"/>
        <v>0.22096645656741287</v>
      </c>
      <c r="S8" s="41">
        <f t="shared" si="3"/>
        <v>265.01760000000002</v>
      </c>
      <c r="T8" s="45" t="s">
        <v>71</v>
      </c>
      <c r="U8" s="45">
        <v>0</v>
      </c>
      <c r="V8" s="45">
        <v>0</v>
      </c>
      <c r="W8" s="45">
        <v>0</v>
      </c>
      <c r="X8" s="45">
        <v>0</v>
      </c>
      <c r="Y8" s="45">
        <v>0</v>
      </c>
      <c r="Z8" s="39">
        <f t="shared" si="4"/>
        <v>0.44726959485802081</v>
      </c>
    </row>
    <row r="9" spans="1:28" ht="26.25" x14ac:dyDescent="0.2">
      <c r="A9" s="46" t="s">
        <v>25</v>
      </c>
      <c r="B9" s="47" t="s">
        <v>100</v>
      </c>
      <c r="C9" s="48">
        <v>880</v>
      </c>
      <c r="D9" s="34"/>
      <c r="E9" s="45">
        <v>230</v>
      </c>
      <c r="F9" s="34"/>
      <c r="G9" s="45">
        <v>0</v>
      </c>
      <c r="H9" s="45">
        <v>0</v>
      </c>
      <c r="I9" s="45">
        <v>0</v>
      </c>
      <c r="J9" s="45">
        <v>0</v>
      </c>
      <c r="K9" s="45">
        <v>381.67</v>
      </c>
      <c r="L9" s="34"/>
      <c r="M9" s="34"/>
      <c r="N9" s="34"/>
      <c r="O9" s="52" t="e">
        <f t="shared" si="0"/>
        <v>#N/A</v>
      </c>
      <c r="P9" s="33" t="e">
        <f t="shared" si="1"/>
        <v>#N/A</v>
      </c>
      <c r="Q9" s="53" t="s">
        <v>26</v>
      </c>
      <c r="R9" s="39">
        <f t="shared" si="2"/>
        <v>0</v>
      </c>
      <c r="S9" s="41">
        <f t="shared" si="3"/>
        <v>45.800400000000003</v>
      </c>
      <c r="T9" s="45" t="s">
        <v>71</v>
      </c>
      <c r="U9" s="45">
        <v>0</v>
      </c>
      <c r="V9" s="45">
        <v>0</v>
      </c>
      <c r="W9" s="45">
        <v>0</v>
      </c>
      <c r="X9" s="45">
        <v>44</v>
      </c>
      <c r="Y9" s="45">
        <v>0</v>
      </c>
      <c r="Z9" s="39">
        <f t="shared" si="4"/>
        <v>0.69507954545454553</v>
      </c>
    </row>
    <row r="10" spans="1:28" ht="26.25" x14ac:dyDescent="0.2">
      <c r="A10" s="46" t="s">
        <v>43</v>
      </c>
      <c r="B10" s="47" t="s">
        <v>44</v>
      </c>
      <c r="C10" s="48">
        <v>593.17999999999995</v>
      </c>
      <c r="D10" s="34"/>
      <c r="E10" s="45">
        <v>268.5</v>
      </c>
      <c r="F10" s="34"/>
      <c r="G10" s="45">
        <v>135.34</v>
      </c>
      <c r="H10" s="45">
        <v>41.62</v>
      </c>
      <c r="I10" s="45">
        <v>0</v>
      </c>
      <c r="J10" s="45">
        <v>0</v>
      </c>
      <c r="K10" s="34"/>
      <c r="L10" s="34"/>
      <c r="M10" s="34"/>
      <c r="N10" s="34"/>
      <c r="O10" s="52">
        <f t="shared" si="0"/>
        <v>0.7709999999999998</v>
      </c>
      <c r="P10" s="33">
        <f t="shared" si="1"/>
        <v>-6.0444897426797866</v>
      </c>
      <c r="Q10" s="53" t="s">
        <v>26</v>
      </c>
      <c r="R10" s="39">
        <f t="shared" si="2"/>
        <v>0</v>
      </c>
      <c r="S10" s="41">
        <f t="shared" si="3"/>
        <v>21.235199999999999</v>
      </c>
      <c r="T10" s="45" t="s">
        <v>71</v>
      </c>
      <c r="U10" s="45">
        <v>2</v>
      </c>
      <c r="V10" s="45">
        <v>13.5</v>
      </c>
      <c r="W10" s="45">
        <v>0</v>
      </c>
      <c r="X10" s="45">
        <v>0</v>
      </c>
      <c r="Y10" s="45">
        <v>0</v>
      </c>
      <c r="Z10" s="39">
        <f t="shared" si="4"/>
        <v>0.75096935163019674</v>
      </c>
    </row>
    <row r="11" spans="1:28" ht="26.25" x14ac:dyDescent="0.2">
      <c r="A11" s="46" t="s">
        <v>43</v>
      </c>
      <c r="B11" s="47" t="s">
        <v>57</v>
      </c>
      <c r="C11" s="48">
        <v>570.55999999999995</v>
      </c>
      <c r="D11" s="34"/>
      <c r="E11" s="45">
        <v>212.5</v>
      </c>
      <c r="F11" s="34"/>
      <c r="G11" s="45">
        <v>78.3</v>
      </c>
      <c r="H11" s="45">
        <v>132.27000000000001</v>
      </c>
      <c r="I11" s="45">
        <v>0</v>
      </c>
      <c r="J11" s="45">
        <v>0</v>
      </c>
      <c r="K11" s="34"/>
      <c r="L11" s="34"/>
      <c r="M11" s="34"/>
      <c r="N11" s="34"/>
      <c r="O11" s="52">
        <f t="shared" si="0"/>
        <v>0.7609999999999999</v>
      </c>
      <c r="P11" s="33">
        <f t="shared" si="1"/>
        <v>-1.6097352972494434</v>
      </c>
      <c r="Q11" s="53" t="s">
        <v>26</v>
      </c>
      <c r="R11" s="39">
        <f t="shared" si="2"/>
        <v>0</v>
      </c>
      <c r="S11" s="41">
        <f t="shared" si="3"/>
        <v>25.2684</v>
      </c>
      <c r="T11" s="45" t="s">
        <v>71</v>
      </c>
      <c r="U11" s="45">
        <v>2</v>
      </c>
      <c r="V11" s="45">
        <v>12</v>
      </c>
      <c r="W11" s="45">
        <v>0</v>
      </c>
      <c r="X11" s="45">
        <v>0</v>
      </c>
      <c r="Y11" s="45">
        <v>0</v>
      </c>
      <c r="Z11" s="39">
        <f t="shared" si="4"/>
        <v>0.74149957936062827</v>
      </c>
    </row>
    <row r="12" spans="1:28" ht="26.25" x14ac:dyDescent="0.2">
      <c r="A12" s="46" t="s">
        <v>66</v>
      </c>
      <c r="B12" s="47" t="s">
        <v>18</v>
      </c>
      <c r="C12" s="48">
        <v>5190.6000000000004</v>
      </c>
      <c r="D12" s="45">
        <v>523</v>
      </c>
      <c r="E12" s="45">
        <v>578</v>
      </c>
      <c r="F12" s="34"/>
      <c r="G12" s="45">
        <v>147.43</v>
      </c>
      <c r="H12" s="45">
        <v>0</v>
      </c>
      <c r="I12" s="45">
        <v>0</v>
      </c>
      <c r="J12" s="45">
        <v>0</v>
      </c>
      <c r="K12" s="45">
        <v>2342.9499999999998</v>
      </c>
      <c r="L12" s="34"/>
      <c r="M12" s="34"/>
      <c r="N12" s="34"/>
      <c r="O12" s="52">
        <f t="shared" si="0"/>
        <v>0.74099999999999999</v>
      </c>
      <c r="P12" s="33">
        <f t="shared" si="1"/>
        <v>-4.3251611940290786</v>
      </c>
      <c r="Q12" s="53" t="s">
        <v>26</v>
      </c>
      <c r="R12" s="39">
        <f t="shared" si="2"/>
        <v>0.2100081112119436</v>
      </c>
      <c r="S12" s="41">
        <f t="shared" si="3"/>
        <v>298.84559999999993</v>
      </c>
      <c r="T12" s="45" t="s">
        <v>71</v>
      </c>
      <c r="U12" s="45">
        <v>0</v>
      </c>
      <c r="V12" s="45">
        <v>11.5</v>
      </c>
      <c r="W12" s="45">
        <v>0</v>
      </c>
      <c r="X12" s="45">
        <v>271.5</v>
      </c>
      <c r="Y12" s="45">
        <v>0</v>
      </c>
      <c r="Z12" s="39">
        <f t="shared" si="4"/>
        <v>0.69190074365198628</v>
      </c>
    </row>
    <row r="13" spans="1:28" ht="26.25" x14ac:dyDescent="0.2">
      <c r="A13" s="46" t="s">
        <v>43</v>
      </c>
      <c r="B13" s="47" t="s">
        <v>57</v>
      </c>
      <c r="C13" s="48">
        <v>570.55999999999995</v>
      </c>
      <c r="D13" s="34"/>
      <c r="E13" s="45">
        <v>212.5</v>
      </c>
      <c r="F13" s="34"/>
      <c r="G13" s="45">
        <v>78.3</v>
      </c>
      <c r="H13" s="45">
        <v>132.27000000000001</v>
      </c>
      <c r="I13" s="45">
        <v>0</v>
      </c>
      <c r="J13" s="45">
        <v>0</v>
      </c>
      <c r="K13" s="34"/>
      <c r="L13" s="34"/>
      <c r="M13" s="34"/>
      <c r="N13" s="34"/>
      <c r="O13" s="52">
        <f t="shared" si="0"/>
        <v>0.7609999999999999</v>
      </c>
      <c r="P13" s="33">
        <f t="shared" si="1"/>
        <v>-1.6097352972494434</v>
      </c>
      <c r="Q13" s="53" t="s">
        <v>26</v>
      </c>
      <c r="R13" s="39">
        <f t="shared" si="2"/>
        <v>0</v>
      </c>
      <c r="S13" s="41">
        <f t="shared" si="3"/>
        <v>25.2684</v>
      </c>
      <c r="T13" s="45" t="s">
        <v>71</v>
      </c>
      <c r="U13" s="45">
        <v>0</v>
      </c>
      <c r="V13" s="45">
        <v>12</v>
      </c>
      <c r="W13" s="45">
        <v>0</v>
      </c>
      <c r="X13" s="45">
        <v>0</v>
      </c>
      <c r="Y13" s="45">
        <v>0</v>
      </c>
      <c r="Z13" s="39">
        <f t="shared" si="4"/>
        <v>0.74149957936062827</v>
      </c>
    </row>
    <row r="14" spans="1:28" x14ac:dyDescent="0.2">
      <c r="S14" s="43"/>
    </row>
    <row r="15" spans="1:28" s="34" customFormat="1" ht="17.25" x14ac:dyDescent="0.2">
      <c r="B15" s="40" t="s">
        <v>91</v>
      </c>
      <c r="C15" s="49">
        <f t="shared" ref="C15:N15" si="5">SUM(C3:C13)</f>
        <v>28017.900000000005</v>
      </c>
      <c r="D15" s="49">
        <f t="shared" si="5"/>
        <v>2022</v>
      </c>
      <c r="E15" s="49">
        <f t="shared" si="5"/>
        <v>3993</v>
      </c>
      <c r="F15" s="40">
        <f t="shared" si="5"/>
        <v>0</v>
      </c>
      <c r="G15" s="49">
        <f t="shared" si="5"/>
        <v>800.43999999999983</v>
      </c>
      <c r="H15" s="49">
        <f t="shared" si="5"/>
        <v>4897.0100000000011</v>
      </c>
      <c r="I15" s="40">
        <f t="shared" si="5"/>
        <v>0</v>
      </c>
      <c r="J15" s="40">
        <f t="shared" si="5"/>
        <v>0</v>
      </c>
      <c r="K15" s="49">
        <f t="shared" si="5"/>
        <v>5449.24</v>
      </c>
      <c r="L15" s="40">
        <f t="shared" si="5"/>
        <v>0</v>
      </c>
      <c r="M15" s="40">
        <f t="shared" si="5"/>
        <v>0</v>
      </c>
      <c r="N15" s="40">
        <f t="shared" si="5"/>
        <v>0</v>
      </c>
      <c r="S15" s="44"/>
    </row>
    <row r="16" spans="1:28" x14ac:dyDescent="0.2">
      <c r="S16" s="43"/>
    </row>
    <row r="17" spans="1:19" ht="17.25" x14ac:dyDescent="0.2">
      <c r="A17" s="51"/>
      <c r="B17" s="50" t="s">
        <v>101</v>
      </c>
      <c r="C17" s="50" t="s">
        <v>102</v>
      </c>
      <c r="D17" s="51"/>
      <c r="E17" s="51"/>
      <c r="S17" s="43"/>
    </row>
  </sheetData>
  <mergeCells count="3">
    <mergeCell ref="U1:Z1"/>
    <mergeCell ref="O1:P2"/>
    <mergeCell ref="B1:C1"/>
  </mergeCells>
  <conditionalFormatting sqref="D3:F13">
    <cfRule type="cellIs" dxfId="5" priority="4" operator="greaterThan">
      <formula>0</formula>
    </cfRule>
  </conditionalFormatting>
  <conditionalFormatting sqref="G3:N13">
    <cfRule type="cellIs" dxfId="4" priority="3" operator="greaterThan">
      <formula>0</formula>
    </cfRule>
  </conditionalFormatting>
  <conditionalFormatting sqref="U3:Y13">
    <cfRule type="cellIs" dxfId="3" priority="5" stopIfTrue="1" operator="greaterThan">
      <formula>0</formula>
    </cfRule>
    <cfRule type="cellIs" dxfId="2" priority="6" stopIfTrue="1" operator="equal">
      <formula>0</formula>
    </cfRule>
  </conditionalFormatting>
  <conditionalFormatting sqref="C15:N15">
    <cfRule type="cellIs" dxfId="1" priority="2" operator="greaterThan">
      <formula>0</formula>
    </cfRule>
  </conditionalFormatting>
  <conditionalFormatting sqref="P3:P13">
    <cfRule type="cellIs" dxfId="0" priority="1" stopIfTrue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">
    <outlinePr summaryBelow="0" summaryRight="0"/>
    <pageSetUpPr autoPageBreaks="0"/>
  </sheetPr>
  <dimension ref="A1:L125"/>
  <sheetViews>
    <sheetView topLeftCell="A13" zoomScale="145" zoomScaleNormal="145" workbookViewId="0">
      <selection activeCell="D40" sqref="D40"/>
    </sheetView>
  </sheetViews>
  <sheetFormatPr defaultColWidth="10" defaultRowHeight="12.75" customHeight="1" outlineLevelRow="7" x14ac:dyDescent="0.2"/>
  <cols>
    <col min="1" max="1" width="15.85546875" bestFit="1" customWidth="1"/>
    <col min="2" max="2" width="10.140625" bestFit="1" customWidth="1"/>
    <col min="3" max="3" width="24" bestFit="1" customWidth="1"/>
    <col min="4" max="4" width="47.140625" bestFit="1" customWidth="1"/>
    <col min="5" max="5" width="18.140625" bestFit="1" customWidth="1"/>
    <col min="6" max="7" width="9.28515625" bestFit="1" customWidth="1"/>
    <col min="8" max="8" width="12.85546875" bestFit="1" customWidth="1"/>
    <col min="9" max="9" width="7.7109375" bestFit="1" customWidth="1"/>
    <col min="10" max="10" width="9.28515625" bestFit="1" customWidth="1"/>
    <col min="11" max="11" width="12.28515625" bestFit="1" customWidth="1"/>
    <col min="12" max="12" width="13.28515625" bestFit="1" customWidth="1"/>
    <col min="257" max="257" width="15.85546875" bestFit="1" customWidth="1"/>
    <col min="258" max="258" width="10.140625" bestFit="1" customWidth="1"/>
    <col min="259" max="259" width="24" bestFit="1" customWidth="1"/>
    <col min="260" max="260" width="47.140625" bestFit="1" customWidth="1"/>
    <col min="261" max="261" width="18.140625" bestFit="1" customWidth="1"/>
    <col min="262" max="263" width="9.28515625" bestFit="1" customWidth="1"/>
    <col min="264" max="264" width="12.85546875" bestFit="1" customWidth="1"/>
    <col min="265" max="265" width="7.7109375" bestFit="1" customWidth="1"/>
    <col min="266" max="266" width="9.28515625" bestFit="1" customWidth="1"/>
    <col min="267" max="267" width="12.28515625" bestFit="1" customWidth="1"/>
    <col min="268" max="268" width="13.28515625" bestFit="1" customWidth="1"/>
    <col min="513" max="513" width="15.85546875" bestFit="1" customWidth="1"/>
    <col min="514" max="514" width="10.140625" bestFit="1" customWidth="1"/>
    <col min="515" max="515" width="24" bestFit="1" customWidth="1"/>
    <col min="516" max="516" width="47.140625" bestFit="1" customWidth="1"/>
    <col min="517" max="517" width="18.140625" bestFit="1" customWidth="1"/>
    <col min="518" max="519" width="9.28515625" bestFit="1" customWidth="1"/>
    <col min="520" max="520" width="12.85546875" bestFit="1" customWidth="1"/>
    <col min="521" max="521" width="7.7109375" bestFit="1" customWidth="1"/>
    <col min="522" max="522" width="9.28515625" bestFit="1" customWidth="1"/>
    <col min="523" max="523" width="12.28515625" bestFit="1" customWidth="1"/>
    <col min="524" max="524" width="13.28515625" bestFit="1" customWidth="1"/>
    <col min="769" max="769" width="15.85546875" bestFit="1" customWidth="1"/>
    <col min="770" max="770" width="10.140625" bestFit="1" customWidth="1"/>
    <col min="771" max="771" width="24" bestFit="1" customWidth="1"/>
    <col min="772" max="772" width="47.140625" bestFit="1" customWidth="1"/>
    <col min="773" max="773" width="18.140625" bestFit="1" customWidth="1"/>
    <col min="774" max="775" width="9.28515625" bestFit="1" customWidth="1"/>
    <col min="776" max="776" width="12.85546875" bestFit="1" customWidth="1"/>
    <col min="777" max="777" width="7.7109375" bestFit="1" customWidth="1"/>
    <col min="778" max="778" width="9.28515625" bestFit="1" customWidth="1"/>
    <col min="779" max="779" width="12.28515625" bestFit="1" customWidth="1"/>
    <col min="780" max="780" width="13.28515625" bestFit="1" customWidth="1"/>
    <col min="1025" max="1025" width="15.85546875" bestFit="1" customWidth="1"/>
    <col min="1026" max="1026" width="10.140625" bestFit="1" customWidth="1"/>
    <col min="1027" max="1027" width="24" bestFit="1" customWidth="1"/>
    <col min="1028" max="1028" width="47.140625" bestFit="1" customWidth="1"/>
    <col min="1029" max="1029" width="18.140625" bestFit="1" customWidth="1"/>
    <col min="1030" max="1031" width="9.28515625" bestFit="1" customWidth="1"/>
    <col min="1032" max="1032" width="12.85546875" bestFit="1" customWidth="1"/>
    <col min="1033" max="1033" width="7.7109375" bestFit="1" customWidth="1"/>
    <col min="1034" max="1034" width="9.28515625" bestFit="1" customWidth="1"/>
    <col min="1035" max="1035" width="12.28515625" bestFit="1" customWidth="1"/>
    <col min="1036" max="1036" width="13.28515625" bestFit="1" customWidth="1"/>
    <col min="1281" max="1281" width="15.85546875" bestFit="1" customWidth="1"/>
    <col min="1282" max="1282" width="10.140625" bestFit="1" customWidth="1"/>
    <col min="1283" max="1283" width="24" bestFit="1" customWidth="1"/>
    <col min="1284" max="1284" width="47.140625" bestFit="1" customWidth="1"/>
    <col min="1285" max="1285" width="18.140625" bestFit="1" customWidth="1"/>
    <col min="1286" max="1287" width="9.28515625" bestFit="1" customWidth="1"/>
    <col min="1288" max="1288" width="12.85546875" bestFit="1" customWidth="1"/>
    <col min="1289" max="1289" width="7.7109375" bestFit="1" customWidth="1"/>
    <col min="1290" max="1290" width="9.28515625" bestFit="1" customWidth="1"/>
    <col min="1291" max="1291" width="12.28515625" bestFit="1" customWidth="1"/>
    <col min="1292" max="1292" width="13.28515625" bestFit="1" customWidth="1"/>
    <col min="1537" max="1537" width="15.85546875" bestFit="1" customWidth="1"/>
    <col min="1538" max="1538" width="10.140625" bestFit="1" customWidth="1"/>
    <col min="1539" max="1539" width="24" bestFit="1" customWidth="1"/>
    <col min="1540" max="1540" width="47.140625" bestFit="1" customWidth="1"/>
    <col min="1541" max="1541" width="18.140625" bestFit="1" customWidth="1"/>
    <col min="1542" max="1543" width="9.28515625" bestFit="1" customWidth="1"/>
    <col min="1544" max="1544" width="12.85546875" bestFit="1" customWidth="1"/>
    <col min="1545" max="1545" width="7.7109375" bestFit="1" customWidth="1"/>
    <col min="1546" max="1546" width="9.28515625" bestFit="1" customWidth="1"/>
    <col min="1547" max="1547" width="12.28515625" bestFit="1" customWidth="1"/>
    <col min="1548" max="1548" width="13.28515625" bestFit="1" customWidth="1"/>
    <col min="1793" max="1793" width="15.85546875" bestFit="1" customWidth="1"/>
    <col min="1794" max="1794" width="10.140625" bestFit="1" customWidth="1"/>
    <col min="1795" max="1795" width="24" bestFit="1" customWidth="1"/>
    <col min="1796" max="1796" width="47.140625" bestFit="1" customWidth="1"/>
    <col min="1797" max="1797" width="18.140625" bestFit="1" customWidth="1"/>
    <col min="1798" max="1799" width="9.28515625" bestFit="1" customWidth="1"/>
    <col min="1800" max="1800" width="12.85546875" bestFit="1" customWidth="1"/>
    <col min="1801" max="1801" width="7.7109375" bestFit="1" customWidth="1"/>
    <col min="1802" max="1802" width="9.28515625" bestFit="1" customWidth="1"/>
    <col min="1803" max="1803" width="12.28515625" bestFit="1" customWidth="1"/>
    <col min="1804" max="1804" width="13.28515625" bestFit="1" customWidth="1"/>
    <col min="2049" max="2049" width="15.85546875" bestFit="1" customWidth="1"/>
    <col min="2050" max="2050" width="10.140625" bestFit="1" customWidth="1"/>
    <col min="2051" max="2051" width="24" bestFit="1" customWidth="1"/>
    <col min="2052" max="2052" width="47.140625" bestFit="1" customWidth="1"/>
    <col min="2053" max="2053" width="18.140625" bestFit="1" customWidth="1"/>
    <col min="2054" max="2055" width="9.28515625" bestFit="1" customWidth="1"/>
    <col min="2056" max="2056" width="12.85546875" bestFit="1" customWidth="1"/>
    <col min="2057" max="2057" width="7.7109375" bestFit="1" customWidth="1"/>
    <col min="2058" max="2058" width="9.28515625" bestFit="1" customWidth="1"/>
    <col min="2059" max="2059" width="12.28515625" bestFit="1" customWidth="1"/>
    <col min="2060" max="2060" width="13.28515625" bestFit="1" customWidth="1"/>
    <col min="2305" max="2305" width="15.85546875" bestFit="1" customWidth="1"/>
    <col min="2306" max="2306" width="10.140625" bestFit="1" customWidth="1"/>
    <col min="2307" max="2307" width="24" bestFit="1" customWidth="1"/>
    <col min="2308" max="2308" width="47.140625" bestFit="1" customWidth="1"/>
    <col min="2309" max="2309" width="18.140625" bestFit="1" customWidth="1"/>
    <col min="2310" max="2311" width="9.28515625" bestFit="1" customWidth="1"/>
    <col min="2312" max="2312" width="12.85546875" bestFit="1" customWidth="1"/>
    <col min="2313" max="2313" width="7.7109375" bestFit="1" customWidth="1"/>
    <col min="2314" max="2314" width="9.28515625" bestFit="1" customWidth="1"/>
    <col min="2315" max="2315" width="12.28515625" bestFit="1" customWidth="1"/>
    <col min="2316" max="2316" width="13.28515625" bestFit="1" customWidth="1"/>
    <col min="2561" max="2561" width="15.85546875" bestFit="1" customWidth="1"/>
    <col min="2562" max="2562" width="10.140625" bestFit="1" customWidth="1"/>
    <col min="2563" max="2563" width="24" bestFit="1" customWidth="1"/>
    <col min="2564" max="2564" width="47.140625" bestFit="1" customWidth="1"/>
    <col min="2565" max="2565" width="18.140625" bestFit="1" customWidth="1"/>
    <col min="2566" max="2567" width="9.28515625" bestFit="1" customWidth="1"/>
    <col min="2568" max="2568" width="12.85546875" bestFit="1" customWidth="1"/>
    <col min="2569" max="2569" width="7.7109375" bestFit="1" customWidth="1"/>
    <col min="2570" max="2570" width="9.28515625" bestFit="1" customWidth="1"/>
    <col min="2571" max="2571" width="12.28515625" bestFit="1" customWidth="1"/>
    <col min="2572" max="2572" width="13.28515625" bestFit="1" customWidth="1"/>
    <col min="2817" max="2817" width="15.85546875" bestFit="1" customWidth="1"/>
    <col min="2818" max="2818" width="10.140625" bestFit="1" customWidth="1"/>
    <col min="2819" max="2819" width="24" bestFit="1" customWidth="1"/>
    <col min="2820" max="2820" width="47.140625" bestFit="1" customWidth="1"/>
    <col min="2821" max="2821" width="18.140625" bestFit="1" customWidth="1"/>
    <col min="2822" max="2823" width="9.28515625" bestFit="1" customWidth="1"/>
    <col min="2824" max="2824" width="12.85546875" bestFit="1" customWidth="1"/>
    <col min="2825" max="2825" width="7.7109375" bestFit="1" customWidth="1"/>
    <col min="2826" max="2826" width="9.28515625" bestFit="1" customWidth="1"/>
    <col min="2827" max="2827" width="12.28515625" bestFit="1" customWidth="1"/>
    <col min="2828" max="2828" width="13.28515625" bestFit="1" customWidth="1"/>
    <col min="3073" max="3073" width="15.85546875" bestFit="1" customWidth="1"/>
    <col min="3074" max="3074" width="10.140625" bestFit="1" customWidth="1"/>
    <col min="3075" max="3075" width="24" bestFit="1" customWidth="1"/>
    <col min="3076" max="3076" width="47.140625" bestFit="1" customWidth="1"/>
    <col min="3077" max="3077" width="18.140625" bestFit="1" customWidth="1"/>
    <col min="3078" max="3079" width="9.28515625" bestFit="1" customWidth="1"/>
    <col min="3080" max="3080" width="12.85546875" bestFit="1" customWidth="1"/>
    <col min="3081" max="3081" width="7.7109375" bestFit="1" customWidth="1"/>
    <col min="3082" max="3082" width="9.28515625" bestFit="1" customWidth="1"/>
    <col min="3083" max="3083" width="12.28515625" bestFit="1" customWidth="1"/>
    <col min="3084" max="3084" width="13.28515625" bestFit="1" customWidth="1"/>
    <col min="3329" max="3329" width="15.85546875" bestFit="1" customWidth="1"/>
    <col min="3330" max="3330" width="10.140625" bestFit="1" customWidth="1"/>
    <col min="3331" max="3331" width="24" bestFit="1" customWidth="1"/>
    <col min="3332" max="3332" width="47.140625" bestFit="1" customWidth="1"/>
    <col min="3333" max="3333" width="18.140625" bestFit="1" customWidth="1"/>
    <col min="3334" max="3335" width="9.28515625" bestFit="1" customWidth="1"/>
    <col min="3336" max="3336" width="12.85546875" bestFit="1" customWidth="1"/>
    <col min="3337" max="3337" width="7.7109375" bestFit="1" customWidth="1"/>
    <col min="3338" max="3338" width="9.28515625" bestFit="1" customWidth="1"/>
    <col min="3339" max="3339" width="12.28515625" bestFit="1" customWidth="1"/>
    <col min="3340" max="3340" width="13.28515625" bestFit="1" customWidth="1"/>
    <col min="3585" max="3585" width="15.85546875" bestFit="1" customWidth="1"/>
    <col min="3586" max="3586" width="10.140625" bestFit="1" customWidth="1"/>
    <col min="3587" max="3587" width="24" bestFit="1" customWidth="1"/>
    <col min="3588" max="3588" width="47.140625" bestFit="1" customWidth="1"/>
    <col min="3589" max="3589" width="18.140625" bestFit="1" customWidth="1"/>
    <col min="3590" max="3591" width="9.28515625" bestFit="1" customWidth="1"/>
    <col min="3592" max="3592" width="12.85546875" bestFit="1" customWidth="1"/>
    <col min="3593" max="3593" width="7.7109375" bestFit="1" customWidth="1"/>
    <col min="3594" max="3594" width="9.28515625" bestFit="1" customWidth="1"/>
    <col min="3595" max="3595" width="12.28515625" bestFit="1" customWidth="1"/>
    <col min="3596" max="3596" width="13.28515625" bestFit="1" customWidth="1"/>
    <col min="3841" max="3841" width="15.85546875" bestFit="1" customWidth="1"/>
    <col min="3842" max="3842" width="10.140625" bestFit="1" customWidth="1"/>
    <col min="3843" max="3843" width="24" bestFit="1" customWidth="1"/>
    <col min="3844" max="3844" width="47.140625" bestFit="1" customWidth="1"/>
    <col min="3845" max="3845" width="18.140625" bestFit="1" customWidth="1"/>
    <col min="3846" max="3847" width="9.28515625" bestFit="1" customWidth="1"/>
    <col min="3848" max="3848" width="12.85546875" bestFit="1" customWidth="1"/>
    <col min="3849" max="3849" width="7.7109375" bestFit="1" customWidth="1"/>
    <col min="3850" max="3850" width="9.28515625" bestFit="1" customWidth="1"/>
    <col min="3851" max="3851" width="12.28515625" bestFit="1" customWidth="1"/>
    <col min="3852" max="3852" width="13.28515625" bestFit="1" customWidth="1"/>
    <col min="4097" max="4097" width="15.85546875" bestFit="1" customWidth="1"/>
    <col min="4098" max="4098" width="10.140625" bestFit="1" customWidth="1"/>
    <col min="4099" max="4099" width="24" bestFit="1" customWidth="1"/>
    <col min="4100" max="4100" width="47.140625" bestFit="1" customWidth="1"/>
    <col min="4101" max="4101" width="18.140625" bestFit="1" customWidth="1"/>
    <col min="4102" max="4103" width="9.28515625" bestFit="1" customWidth="1"/>
    <col min="4104" max="4104" width="12.85546875" bestFit="1" customWidth="1"/>
    <col min="4105" max="4105" width="7.7109375" bestFit="1" customWidth="1"/>
    <col min="4106" max="4106" width="9.28515625" bestFit="1" customWidth="1"/>
    <col min="4107" max="4107" width="12.28515625" bestFit="1" customWidth="1"/>
    <col min="4108" max="4108" width="13.28515625" bestFit="1" customWidth="1"/>
    <col min="4353" max="4353" width="15.85546875" bestFit="1" customWidth="1"/>
    <col min="4354" max="4354" width="10.140625" bestFit="1" customWidth="1"/>
    <col min="4355" max="4355" width="24" bestFit="1" customWidth="1"/>
    <col min="4356" max="4356" width="47.140625" bestFit="1" customWidth="1"/>
    <col min="4357" max="4357" width="18.140625" bestFit="1" customWidth="1"/>
    <col min="4358" max="4359" width="9.28515625" bestFit="1" customWidth="1"/>
    <col min="4360" max="4360" width="12.85546875" bestFit="1" customWidth="1"/>
    <col min="4361" max="4361" width="7.7109375" bestFit="1" customWidth="1"/>
    <col min="4362" max="4362" width="9.28515625" bestFit="1" customWidth="1"/>
    <col min="4363" max="4363" width="12.28515625" bestFit="1" customWidth="1"/>
    <col min="4364" max="4364" width="13.28515625" bestFit="1" customWidth="1"/>
    <col min="4609" max="4609" width="15.85546875" bestFit="1" customWidth="1"/>
    <col min="4610" max="4610" width="10.140625" bestFit="1" customWidth="1"/>
    <col min="4611" max="4611" width="24" bestFit="1" customWidth="1"/>
    <col min="4612" max="4612" width="47.140625" bestFit="1" customWidth="1"/>
    <col min="4613" max="4613" width="18.140625" bestFit="1" customWidth="1"/>
    <col min="4614" max="4615" width="9.28515625" bestFit="1" customWidth="1"/>
    <col min="4616" max="4616" width="12.85546875" bestFit="1" customWidth="1"/>
    <col min="4617" max="4617" width="7.7109375" bestFit="1" customWidth="1"/>
    <col min="4618" max="4618" width="9.28515625" bestFit="1" customWidth="1"/>
    <col min="4619" max="4619" width="12.28515625" bestFit="1" customWidth="1"/>
    <col min="4620" max="4620" width="13.28515625" bestFit="1" customWidth="1"/>
    <col min="4865" max="4865" width="15.85546875" bestFit="1" customWidth="1"/>
    <col min="4866" max="4866" width="10.140625" bestFit="1" customWidth="1"/>
    <col min="4867" max="4867" width="24" bestFit="1" customWidth="1"/>
    <col min="4868" max="4868" width="47.140625" bestFit="1" customWidth="1"/>
    <col min="4869" max="4869" width="18.140625" bestFit="1" customWidth="1"/>
    <col min="4870" max="4871" width="9.28515625" bestFit="1" customWidth="1"/>
    <col min="4872" max="4872" width="12.85546875" bestFit="1" customWidth="1"/>
    <col min="4873" max="4873" width="7.7109375" bestFit="1" customWidth="1"/>
    <col min="4874" max="4874" width="9.28515625" bestFit="1" customWidth="1"/>
    <col min="4875" max="4875" width="12.28515625" bestFit="1" customWidth="1"/>
    <col min="4876" max="4876" width="13.28515625" bestFit="1" customWidth="1"/>
    <col min="5121" max="5121" width="15.85546875" bestFit="1" customWidth="1"/>
    <col min="5122" max="5122" width="10.140625" bestFit="1" customWidth="1"/>
    <col min="5123" max="5123" width="24" bestFit="1" customWidth="1"/>
    <col min="5124" max="5124" width="47.140625" bestFit="1" customWidth="1"/>
    <col min="5125" max="5125" width="18.140625" bestFit="1" customWidth="1"/>
    <col min="5126" max="5127" width="9.28515625" bestFit="1" customWidth="1"/>
    <col min="5128" max="5128" width="12.85546875" bestFit="1" customWidth="1"/>
    <col min="5129" max="5129" width="7.7109375" bestFit="1" customWidth="1"/>
    <col min="5130" max="5130" width="9.28515625" bestFit="1" customWidth="1"/>
    <col min="5131" max="5131" width="12.28515625" bestFit="1" customWidth="1"/>
    <col min="5132" max="5132" width="13.28515625" bestFit="1" customWidth="1"/>
    <col min="5377" max="5377" width="15.85546875" bestFit="1" customWidth="1"/>
    <col min="5378" max="5378" width="10.140625" bestFit="1" customWidth="1"/>
    <col min="5379" max="5379" width="24" bestFit="1" customWidth="1"/>
    <col min="5380" max="5380" width="47.140625" bestFit="1" customWidth="1"/>
    <col min="5381" max="5381" width="18.140625" bestFit="1" customWidth="1"/>
    <col min="5382" max="5383" width="9.28515625" bestFit="1" customWidth="1"/>
    <col min="5384" max="5384" width="12.85546875" bestFit="1" customWidth="1"/>
    <col min="5385" max="5385" width="7.7109375" bestFit="1" customWidth="1"/>
    <col min="5386" max="5386" width="9.28515625" bestFit="1" customWidth="1"/>
    <col min="5387" max="5387" width="12.28515625" bestFit="1" customWidth="1"/>
    <col min="5388" max="5388" width="13.28515625" bestFit="1" customWidth="1"/>
    <col min="5633" max="5633" width="15.85546875" bestFit="1" customWidth="1"/>
    <col min="5634" max="5634" width="10.140625" bestFit="1" customWidth="1"/>
    <col min="5635" max="5635" width="24" bestFit="1" customWidth="1"/>
    <col min="5636" max="5636" width="47.140625" bestFit="1" customWidth="1"/>
    <col min="5637" max="5637" width="18.140625" bestFit="1" customWidth="1"/>
    <col min="5638" max="5639" width="9.28515625" bestFit="1" customWidth="1"/>
    <col min="5640" max="5640" width="12.85546875" bestFit="1" customWidth="1"/>
    <col min="5641" max="5641" width="7.7109375" bestFit="1" customWidth="1"/>
    <col min="5642" max="5642" width="9.28515625" bestFit="1" customWidth="1"/>
    <col min="5643" max="5643" width="12.28515625" bestFit="1" customWidth="1"/>
    <col min="5644" max="5644" width="13.28515625" bestFit="1" customWidth="1"/>
    <col min="5889" max="5889" width="15.85546875" bestFit="1" customWidth="1"/>
    <col min="5890" max="5890" width="10.140625" bestFit="1" customWidth="1"/>
    <col min="5891" max="5891" width="24" bestFit="1" customWidth="1"/>
    <col min="5892" max="5892" width="47.140625" bestFit="1" customWidth="1"/>
    <col min="5893" max="5893" width="18.140625" bestFit="1" customWidth="1"/>
    <col min="5894" max="5895" width="9.28515625" bestFit="1" customWidth="1"/>
    <col min="5896" max="5896" width="12.85546875" bestFit="1" customWidth="1"/>
    <col min="5897" max="5897" width="7.7109375" bestFit="1" customWidth="1"/>
    <col min="5898" max="5898" width="9.28515625" bestFit="1" customWidth="1"/>
    <col min="5899" max="5899" width="12.28515625" bestFit="1" customWidth="1"/>
    <col min="5900" max="5900" width="13.28515625" bestFit="1" customWidth="1"/>
    <col min="6145" max="6145" width="15.85546875" bestFit="1" customWidth="1"/>
    <col min="6146" max="6146" width="10.140625" bestFit="1" customWidth="1"/>
    <col min="6147" max="6147" width="24" bestFit="1" customWidth="1"/>
    <col min="6148" max="6148" width="47.140625" bestFit="1" customWidth="1"/>
    <col min="6149" max="6149" width="18.140625" bestFit="1" customWidth="1"/>
    <col min="6150" max="6151" width="9.28515625" bestFit="1" customWidth="1"/>
    <col min="6152" max="6152" width="12.85546875" bestFit="1" customWidth="1"/>
    <col min="6153" max="6153" width="7.7109375" bestFit="1" customWidth="1"/>
    <col min="6154" max="6154" width="9.28515625" bestFit="1" customWidth="1"/>
    <col min="6155" max="6155" width="12.28515625" bestFit="1" customWidth="1"/>
    <col min="6156" max="6156" width="13.28515625" bestFit="1" customWidth="1"/>
    <col min="6401" max="6401" width="15.85546875" bestFit="1" customWidth="1"/>
    <col min="6402" max="6402" width="10.140625" bestFit="1" customWidth="1"/>
    <col min="6403" max="6403" width="24" bestFit="1" customWidth="1"/>
    <col min="6404" max="6404" width="47.140625" bestFit="1" customWidth="1"/>
    <col min="6405" max="6405" width="18.140625" bestFit="1" customWidth="1"/>
    <col min="6406" max="6407" width="9.28515625" bestFit="1" customWidth="1"/>
    <col min="6408" max="6408" width="12.85546875" bestFit="1" customWidth="1"/>
    <col min="6409" max="6409" width="7.7109375" bestFit="1" customWidth="1"/>
    <col min="6410" max="6410" width="9.28515625" bestFit="1" customWidth="1"/>
    <col min="6411" max="6411" width="12.28515625" bestFit="1" customWidth="1"/>
    <col min="6412" max="6412" width="13.28515625" bestFit="1" customWidth="1"/>
    <col min="6657" max="6657" width="15.85546875" bestFit="1" customWidth="1"/>
    <col min="6658" max="6658" width="10.140625" bestFit="1" customWidth="1"/>
    <col min="6659" max="6659" width="24" bestFit="1" customWidth="1"/>
    <col min="6660" max="6660" width="47.140625" bestFit="1" customWidth="1"/>
    <col min="6661" max="6661" width="18.140625" bestFit="1" customWidth="1"/>
    <col min="6662" max="6663" width="9.28515625" bestFit="1" customWidth="1"/>
    <col min="6664" max="6664" width="12.85546875" bestFit="1" customWidth="1"/>
    <col min="6665" max="6665" width="7.7109375" bestFit="1" customWidth="1"/>
    <col min="6666" max="6666" width="9.28515625" bestFit="1" customWidth="1"/>
    <col min="6667" max="6667" width="12.28515625" bestFit="1" customWidth="1"/>
    <col min="6668" max="6668" width="13.28515625" bestFit="1" customWidth="1"/>
    <col min="6913" max="6913" width="15.85546875" bestFit="1" customWidth="1"/>
    <col min="6914" max="6914" width="10.140625" bestFit="1" customWidth="1"/>
    <col min="6915" max="6915" width="24" bestFit="1" customWidth="1"/>
    <col min="6916" max="6916" width="47.140625" bestFit="1" customWidth="1"/>
    <col min="6917" max="6917" width="18.140625" bestFit="1" customWidth="1"/>
    <col min="6918" max="6919" width="9.28515625" bestFit="1" customWidth="1"/>
    <col min="6920" max="6920" width="12.85546875" bestFit="1" customWidth="1"/>
    <col min="6921" max="6921" width="7.7109375" bestFit="1" customWidth="1"/>
    <col min="6922" max="6922" width="9.28515625" bestFit="1" customWidth="1"/>
    <col min="6923" max="6923" width="12.28515625" bestFit="1" customWidth="1"/>
    <col min="6924" max="6924" width="13.28515625" bestFit="1" customWidth="1"/>
    <col min="7169" max="7169" width="15.85546875" bestFit="1" customWidth="1"/>
    <col min="7170" max="7170" width="10.140625" bestFit="1" customWidth="1"/>
    <col min="7171" max="7171" width="24" bestFit="1" customWidth="1"/>
    <col min="7172" max="7172" width="47.140625" bestFit="1" customWidth="1"/>
    <col min="7173" max="7173" width="18.140625" bestFit="1" customWidth="1"/>
    <col min="7174" max="7175" width="9.28515625" bestFit="1" customWidth="1"/>
    <col min="7176" max="7176" width="12.85546875" bestFit="1" customWidth="1"/>
    <col min="7177" max="7177" width="7.7109375" bestFit="1" customWidth="1"/>
    <col min="7178" max="7178" width="9.28515625" bestFit="1" customWidth="1"/>
    <col min="7179" max="7179" width="12.28515625" bestFit="1" customWidth="1"/>
    <col min="7180" max="7180" width="13.28515625" bestFit="1" customWidth="1"/>
    <col min="7425" max="7425" width="15.85546875" bestFit="1" customWidth="1"/>
    <col min="7426" max="7426" width="10.140625" bestFit="1" customWidth="1"/>
    <col min="7427" max="7427" width="24" bestFit="1" customWidth="1"/>
    <col min="7428" max="7428" width="47.140625" bestFit="1" customWidth="1"/>
    <col min="7429" max="7429" width="18.140625" bestFit="1" customWidth="1"/>
    <col min="7430" max="7431" width="9.28515625" bestFit="1" customWidth="1"/>
    <col min="7432" max="7432" width="12.85546875" bestFit="1" customWidth="1"/>
    <col min="7433" max="7433" width="7.7109375" bestFit="1" customWidth="1"/>
    <col min="7434" max="7434" width="9.28515625" bestFit="1" customWidth="1"/>
    <col min="7435" max="7435" width="12.28515625" bestFit="1" customWidth="1"/>
    <col min="7436" max="7436" width="13.28515625" bestFit="1" customWidth="1"/>
    <col min="7681" max="7681" width="15.85546875" bestFit="1" customWidth="1"/>
    <col min="7682" max="7682" width="10.140625" bestFit="1" customWidth="1"/>
    <col min="7683" max="7683" width="24" bestFit="1" customWidth="1"/>
    <col min="7684" max="7684" width="47.140625" bestFit="1" customWidth="1"/>
    <col min="7685" max="7685" width="18.140625" bestFit="1" customWidth="1"/>
    <col min="7686" max="7687" width="9.28515625" bestFit="1" customWidth="1"/>
    <col min="7688" max="7688" width="12.85546875" bestFit="1" customWidth="1"/>
    <col min="7689" max="7689" width="7.7109375" bestFit="1" customWidth="1"/>
    <col min="7690" max="7690" width="9.28515625" bestFit="1" customWidth="1"/>
    <col min="7691" max="7691" width="12.28515625" bestFit="1" customWidth="1"/>
    <col min="7692" max="7692" width="13.28515625" bestFit="1" customWidth="1"/>
    <col min="7937" max="7937" width="15.85546875" bestFit="1" customWidth="1"/>
    <col min="7938" max="7938" width="10.140625" bestFit="1" customWidth="1"/>
    <col min="7939" max="7939" width="24" bestFit="1" customWidth="1"/>
    <col min="7940" max="7940" width="47.140625" bestFit="1" customWidth="1"/>
    <col min="7941" max="7941" width="18.140625" bestFit="1" customWidth="1"/>
    <col min="7942" max="7943" width="9.28515625" bestFit="1" customWidth="1"/>
    <col min="7944" max="7944" width="12.85546875" bestFit="1" customWidth="1"/>
    <col min="7945" max="7945" width="7.7109375" bestFit="1" customWidth="1"/>
    <col min="7946" max="7946" width="9.28515625" bestFit="1" customWidth="1"/>
    <col min="7947" max="7947" width="12.28515625" bestFit="1" customWidth="1"/>
    <col min="7948" max="7948" width="13.28515625" bestFit="1" customWidth="1"/>
    <col min="8193" max="8193" width="15.85546875" bestFit="1" customWidth="1"/>
    <col min="8194" max="8194" width="10.140625" bestFit="1" customWidth="1"/>
    <col min="8195" max="8195" width="24" bestFit="1" customWidth="1"/>
    <col min="8196" max="8196" width="47.140625" bestFit="1" customWidth="1"/>
    <col min="8197" max="8197" width="18.140625" bestFit="1" customWidth="1"/>
    <col min="8198" max="8199" width="9.28515625" bestFit="1" customWidth="1"/>
    <col min="8200" max="8200" width="12.85546875" bestFit="1" customWidth="1"/>
    <col min="8201" max="8201" width="7.7109375" bestFit="1" customWidth="1"/>
    <col min="8202" max="8202" width="9.28515625" bestFit="1" customWidth="1"/>
    <col min="8203" max="8203" width="12.28515625" bestFit="1" customWidth="1"/>
    <col min="8204" max="8204" width="13.28515625" bestFit="1" customWidth="1"/>
    <col min="8449" max="8449" width="15.85546875" bestFit="1" customWidth="1"/>
    <col min="8450" max="8450" width="10.140625" bestFit="1" customWidth="1"/>
    <col min="8451" max="8451" width="24" bestFit="1" customWidth="1"/>
    <col min="8452" max="8452" width="47.140625" bestFit="1" customWidth="1"/>
    <col min="8453" max="8453" width="18.140625" bestFit="1" customWidth="1"/>
    <col min="8454" max="8455" width="9.28515625" bestFit="1" customWidth="1"/>
    <col min="8456" max="8456" width="12.85546875" bestFit="1" customWidth="1"/>
    <col min="8457" max="8457" width="7.7109375" bestFit="1" customWidth="1"/>
    <col min="8458" max="8458" width="9.28515625" bestFit="1" customWidth="1"/>
    <col min="8459" max="8459" width="12.28515625" bestFit="1" customWidth="1"/>
    <col min="8460" max="8460" width="13.28515625" bestFit="1" customWidth="1"/>
    <col min="8705" max="8705" width="15.85546875" bestFit="1" customWidth="1"/>
    <col min="8706" max="8706" width="10.140625" bestFit="1" customWidth="1"/>
    <col min="8707" max="8707" width="24" bestFit="1" customWidth="1"/>
    <col min="8708" max="8708" width="47.140625" bestFit="1" customWidth="1"/>
    <col min="8709" max="8709" width="18.140625" bestFit="1" customWidth="1"/>
    <col min="8710" max="8711" width="9.28515625" bestFit="1" customWidth="1"/>
    <col min="8712" max="8712" width="12.85546875" bestFit="1" customWidth="1"/>
    <col min="8713" max="8713" width="7.7109375" bestFit="1" customWidth="1"/>
    <col min="8714" max="8714" width="9.28515625" bestFit="1" customWidth="1"/>
    <col min="8715" max="8715" width="12.28515625" bestFit="1" customWidth="1"/>
    <col min="8716" max="8716" width="13.28515625" bestFit="1" customWidth="1"/>
    <col min="8961" max="8961" width="15.85546875" bestFit="1" customWidth="1"/>
    <col min="8962" max="8962" width="10.140625" bestFit="1" customWidth="1"/>
    <col min="8963" max="8963" width="24" bestFit="1" customWidth="1"/>
    <col min="8964" max="8964" width="47.140625" bestFit="1" customWidth="1"/>
    <col min="8965" max="8965" width="18.140625" bestFit="1" customWidth="1"/>
    <col min="8966" max="8967" width="9.28515625" bestFit="1" customWidth="1"/>
    <col min="8968" max="8968" width="12.85546875" bestFit="1" customWidth="1"/>
    <col min="8969" max="8969" width="7.7109375" bestFit="1" customWidth="1"/>
    <col min="8970" max="8970" width="9.28515625" bestFit="1" customWidth="1"/>
    <col min="8971" max="8971" width="12.28515625" bestFit="1" customWidth="1"/>
    <col min="8972" max="8972" width="13.28515625" bestFit="1" customWidth="1"/>
    <col min="9217" max="9217" width="15.85546875" bestFit="1" customWidth="1"/>
    <col min="9218" max="9218" width="10.140625" bestFit="1" customWidth="1"/>
    <col min="9219" max="9219" width="24" bestFit="1" customWidth="1"/>
    <col min="9220" max="9220" width="47.140625" bestFit="1" customWidth="1"/>
    <col min="9221" max="9221" width="18.140625" bestFit="1" customWidth="1"/>
    <col min="9222" max="9223" width="9.28515625" bestFit="1" customWidth="1"/>
    <col min="9224" max="9224" width="12.85546875" bestFit="1" customWidth="1"/>
    <col min="9225" max="9225" width="7.7109375" bestFit="1" customWidth="1"/>
    <col min="9226" max="9226" width="9.28515625" bestFit="1" customWidth="1"/>
    <col min="9227" max="9227" width="12.28515625" bestFit="1" customWidth="1"/>
    <col min="9228" max="9228" width="13.28515625" bestFit="1" customWidth="1"/>
    <col min="9473" max="9473" width="15.85546875" bestFit="1" customWidth="1"/>
    <col min="9474" max="9474" width="10.140625" bestFit="1" customWidth="1"/>
    <col min="9475" max="9475" width="24" bestFit="1" customWidth="1"/>
    <col min="9476" max="9476" width="47.140625" bestFit="1" customWidth="1"/>
    <col min="9477" max="9477" width="18.140625" bestFit="1" customWidth="1"/>
    <col min="9478" max="9479" width="9.28515625" bestFit="1" customWidth="1"/>
    <col min="9480" max="9480" width="12.85546875" bestFit="1" customWidth="1"/>
    <col min="9481" max="9481" width="7.7109375" bestFit="1" customWidth="1"/>
    <col min="9482" max="9482" width="9.28515625" bestFit="1" customWidth="1"/>
    <col min="9483" max="9483" width="12.28515625" bestFit="1" customWidth="1"/>
    <col min="9484" max="9484" width="13.28515625" bestFit="1" customWidth="1"/>
    <col min="9729" max="9729" width="15.85546875" bestFit="1" customWidth="1"/>
    <col min="9730" max="9730" width="10.140625" bestFit="1" customWidth="1"/>
    <col min="9731" max="9731" width="24" bestFit="1" customWidth="1"/>
    <col min="9732" max="9732" width="47.140625" bestFit="1" customWidth="1"/>
    <col min="9733" max="9733" width="18.140625" bestFit="1" customWidth="1"/>
    <col min="9734" max="9735" width="9.28515625" bestFit="1" customWidth="1"/>
    <col min="9736" max="9736" width="12.85546875" bestFit="1" customWidth="1"/>
    <col min="9737" max="9737" width="7.7109375" bestFit="1" customWidth="1"/>
    <col min="9738" max="9738" width="9.28515625" bestFit="1" customWidth="1"/>
    <col min="9739" max="9739" width="12.28515625" bestFit="1" customWidth="1"/>
    <col min="9740" max="9740" width="13.28515625" bestFit="1" customWidth="1"/>
    <col min="9985" max="9985" width="15.85546875" bestFit="1" customWidth="1"/>
    <col min="9986" max="9986" width="10.140625" bestFit="1" customWidth="1"/>
    <col min="9987" max="9987" width="24" bestFit="1" customWidth="1"/>
    <col min="9988" max="9988" width="47.140625" bestFit="1" customWidth="1"/>
    <col min="9989" max="9989" width="18.140625" bestFit="1" customWidth="1"/>
    <col min="9990" max="9991" width="9.28515625" bestFit="1" customWidth="1"/>
    <col min="9992" max="9992" width="12.85546875" bestFit="1" customWidth="1"/>
    <col min="9993" max="9993" width="7.7109375" bestFit="1" customWidth="1"/>
    <col min="9994" max="9994" width="9.28515625" bestFit="1" customWidth="1"/>
    <col min="9995" max="9995" width="12.28515625" bestFit="1" customWidth="1"/>
    <col min="9996" max="9996" width="13.28515625" bestFit="1" customWidth="1"/>
    <col min="10241" max="10241" width="15.85546875" bestFit="1" customWidth="1"/>
    <col min="10242" max="10242" width="10.140625" bestFit="1" customWidth="1"/>
    <col min="10243" max="10243" width="24" bestFit="1" customWidth="1"/>
    <col min="10244" max="10244" width="47.140625" bestFit="1" customWidth="1"/>
    <col min="10245" max="10245" width="18.140625" bestFit="1" customWidth="1"/>
    <col min="10246" max="10247" width="9.28515625" bestFit="1" customWidth="1"/>
    <col min="10248" max="10248" width="12.85546875" bestFit="1" customWidth="1"/>
    <col min="10249" max="10249" width="7.7109375" bestFit="1" customWidth="1"/>
    <col min="10250" max="10250" width="9.28515625" bestFit="1" customWidth="1"/>
    <col min="10251" max="10251" width="12.28515625" bestFit="1" customWidth="1"/>
    <col min="10252" max="10252" width="13.28515625" bestFit="1" customWidth="1"/>
    <col min="10497" max="10497" width="15.85546875" bestFit="1" customWidth="1"/>
    <col min="10498" max="10498" width="10.140625" bestFit="1" customWidth="1"/>
    <col min="10499" max="10499" width="24" bestFit="1" customWidth="1"/>
    <col min="10500" max="10500" width="47.140625" bestFit="1" customWidth="1"/>
    <col min="10501" max="10501" width="18.140625" bestFit="1" customWidth="1"/>
    <col min="10502" max="10503" width="9.28515625" bestFit="1" customWidth="1"/>
    <col min="10504" max="10504" width="12.85546875" bestFit="1" customWidth="1"/>
    <col min="10505" max="10505" width="7.7109375" bestFit="1" customWidth="1"/>
    <col min="10506" max="10506" width="9.28515625" bestFit="1" customWidth="1"/>
    <col min="10507" max="10507" width="12.28515625" bestFit="1" customWidth="1"/>
    <col min="10508" max="10508" width="13.28515625" bestFit="1" customWidth="1"/>
    <col min="10753" max="10753" width="15.85546875" bestFit="1" customWidth="1"/>
    <col min="10754" max="10754" width="10.140625" bestFit="1" customWidth="1"/>
    <col min="10755" max="10755" width="24" bestFit="1" customWidth="1"/>
    <col min="10756" max="10756" width="47.140625" bestFit="1" customWidth="1"/>
    <col min="10757" max="10757" width="18.140625" bestFit="1" customWidth="1"/>
    <col min="10758" max="10759" width="9.28515625" bestFit="1" customWidth="1"/>
    <col min="10760" max="10760" width="12.85546875" bestFit="1" customWidth="1"/>
    <col min="10761" max="10761" width="7.7109375" bestFit="1" customWidth="1"/>
    <col min="10762" max="10762" width="9.28515625" bestFit="1" customWidth="1"/>
    <col min="10763" max="10763" width="12.28515625" bestFit="1" customWidth="1"/>
    <col min="10764" max="10764" width="13.28515625" bestFit="1" customWidth="1"/>
    <col min="11009" max="11009" width="15.85546875" bestFit="1" customWidth="1"/>
    <col min="11010" max="11010" width="10.140625" bestFit="1" customWidth="1"/>
    <col min="11011" max="11011" width="24" bestFit="1" customWidth="1"/>
    <col min="11012" max="11012" width="47.140625" bestFit="1" customWidth="1"/>
    <col min="11013" max="11013" width="18.140625" bestFit="1" customWidth="1"/>
    <col min="11014" max="11015" width="9.28515625" bestFit="1" customWidth="1"/>
    <col min="11016" max="11016" width="12.85546875" bestFit="1" customWidth="1"/>
    <col min="11017" max="11017" width="7.7109375" bestFit="1" customWidth="1"/>
    <col min="11018" max="11018" width="9.28515625" bestFit="1" customWidth="1"/>
    <col min="11019" max="11019" width="12.28515625" bestFit="1" customWidth="1"/>
    <col min="11020" max="11020" width="13.28515625" bestFit="1" customWidth="1"/>
    <col min="11265" max="11265" width="15.85546875" bestFit="1" customWidth="1"/>
    <col min="11266" max="11266" width="10.140625" bestFit="1" customWidth="1"/>
    <col min="11267" max="11267" width="24" bestFit="1" customWidth="1"/>
    <col min="11268" max="11268" width="47.140625" bestFit="1" customWidth="1"/>
    <col min="11269" max="11269" width="18.140625" bestFit="1" customWidth="1"/>
    <col min="11270" max="11271" width="9.28515625" bestFit="1" customWidth="1"/>
    <col min="11272" max="11272" width="12.85546875" bestFit="1" customWidth="1"/>
    <col min="11273" max="11273" width="7.7109375" bestFit="1" customWidth="1"/>
    <col min="11274" max="11274" width="9.28515625" bestFit="1" customWidth="1"/>
    <col min="11275" max="11275" width="12.28515625" bestFit="1" customWidth="1"/>
    <col min="11276" max="11276" width="13.28515625" bestFit="1" customWidth="1"/>
    <col min="11521" max="11521" width="15.85546875" bestFit="1" customWidth="1"/>
    <col min="11522" max="11522" width="10.140625" bestFit="1" customWidth="1"/>
    <col min="11523" max="11523" width="24" bestFit="1" customWidth="1"/>
    <col min="11524" max="11524" width="47.140625" bestFit="1" customWidth="1"/>
    <col min="11525" max="11525" width="18.140625" bestFit="1" customWidth="1"/>
    <col min="11526" max="11527" width="9.28515625" bestFit="1" customWidth="1"/>
    <col min="11528" max="11528" width="12.85546875" bestFit="1" customWidth="1"/>
    <col min="11529" max="11529" width="7.7109375" bestFit="1" customWidth="1"/>
    <col min="11530" max="11530" width="9.28515625" bestFit="1" customWidth="1"/>
    <col min="11531" max="11531" width="12.28515625" bestFit="1" customWidth="1"/>
    <col min="11532" max="11532" width="13.28515625" bestFit="1" customWidth="1"/>
    <col min="11777" max="11777" width="15.85546875" bestFit="1" customWidth="1"/>
    <col min="11778" max="11778" width="10.140625" bestFit="1" customWidth="1"/>
    <col min="11779" max="11779" width="24" bestFit="1" customWidth="1"/>
    <col min="11780" max="11780" width="47.140625" bestFit="1" customWidth="1"/>
    <col min="11781" max="11781" width="18.140625" bestFit="1" customWidth="1"/>
    <col min="11782" max="11783" width="9.28515625" bestFit="1" customWidth="1"/>
    <col min="11784" max="11784" width="12.85546875" bestFit="1" customWidth="1"/>
    <col min="11785" max="11785" width="7.7109375" bestFit="1" customWidth="1"/>
    <col min="11786" max="11786" width="9.28515625" bestFit="1" customWidth="1"/>
    <col min="11787" max="11787" width="12.28515625" bestFit="1" customWidth="1"/>
    <col min="11788" max="11788" width="13.28515625" bestFit="1" customWidth="1"/>
    <col min="12033" max="12033" width="15.85546875" bestFit="1" customWidth="1"/>
    <col min="12034" max="12034" width="10.140625" bestFit="1" customWidth="1"/>
    <col min="12035" max="12035" width="24" bestFit="1" customWidth="1"/>
    <col min="12036" max="12036" width="47.140625" bestFit="1" customWidth="1"/>
    <col min="12037" max="12037" width="18.140625" bestFit="1" customWidth="1"/>
    <col min="12038" max="12039" width="9.28515625" bestFit="1" customWidth="1"/>
    <col min="12040" max="12040" width="12.85546875" bestFit="1" customWidth="1"/>
    <col min="12041" max="12041" width="7.7109375" bestFit="1" customWidth="1"/>
    <col min="12042" max="12042" width="9.28515625" bestFit="1" customWidth="1"/>
    <col min="12043" max="12043" width="12.28515625" bestFit="1" customWidth="1"/>
    <col min="12044" max="12044" width="13.28515625" bestFit="1" customWidth="1"/>
    <col min="12289" max="12289" width="15.85546875" bestFit="1" customWidth="1"/>
    <col min="12290" max="12290" width="10.140625" bestFit="1" customWidth="1"/>
    <col min="12291" max="12291" width="24" bestFit="1" customWidth="1"/>
    <col min="12292" max="12292" width="47.140625" bestFit="1" customWidth="1"/>
    <col min="12293" max="12293" width="18.140625" bestFit="1" customWidth="1"/>
    <col min="12294" max="12295" width="9.28515625" bestFit="1" customWidth="1"/>
    <col min="12296" max="12296" width="12.85546875" bestFit="1" customWidth="1"/>
    <col min="12297" max="12297" width="7.7109375" bestFit="1" customWidth="1"/>
    <col min="12298" max="12298" width="9.28515625" bestFit="1" customWidth="1"/>
    <col min="12299" max="12299" width="12.28515625" bestFit="1" customWidth="1"/>
    <col min="12300" max="12300" width="13.28515625" bestFit="1" customWidth="1"/>
    <col min="12545" max="12545" width="15.85546875" bestFit="1" customWidth="1"/>
    <col min="12546" max="12546" width="10.140625" bestFit="1" customWidth="1"/>
    <col min="12547" max="12547" width="24" bestFit="1" customWidth="1"/>
    <col min="12548" max="12548" width="47.140625" bestFit="1" customWidth="1"/>
    <col min="12549" max="12549" width="18.140625" bestFit="1" customWidth="1"/>
    <col min="12550" max="12551" width="9.28515625" bestFit="1" customWidth="1"/>
    <col min="12552" max="12552" width="12.85546875" bestFit="1" customWidth="1"/>
    <col min="12553" max="12553" width="7.7109375" bestFit="1" customWidth="1"/>
    <col min="12554" max="12554" width="9.28515625" bestFit="1" customWidth="1"/>
    <col min="12555" max="12555" width="12.28515625" bestFit="1" customWidth="1"/>
    <col min="12556" max="12556" width="13.28515625" bestFit="1" customWidth="1"/>
    <col min="12801" max="12801" width="15.85546875" bestFit="1" customWidth="1"/>
    <col min="12802" max="12802" width="10.140625" bestFit="1" customWidth="1"/>
    <col min="12803" max="12803" width="24" bestFit="1" customWidth="1"/>
    <col min="12804" max="12804" width="47.140625" bestFit="1" customWidth="1"/>
    <col min="12805" max="12805" width="18.140625" bestFit="1" customWidth="1"/>
    <col min="12806" max="12807" width="9.28515625" bestFit="1" customWidth="1"/>
    <col min="12808" max="12808" width="12.85546875" bestFit="1" customWidth="1"/>
    <col min="12809" max="12809" width="7.7109375" bestFit="1" customWidth="1"/>
    <col min="12810" max="12810" width="9.28515625" bestFit="1" customWidth="1"/>
    <col min="12811" max="12811" width="12.28515625" bestFit="1" customWidth="1"/>
    <col min="12812" max="12812" width="13.28515625" bestFit="1" customWidth="1"/>
    <col min="13057" max="13057" width="15.85546875" bestFit="1" customWidth="1"/>
    <col min="13058" max="13058" width="10.140625" bestFit="1" customWidth="1"/>
    <col min="13059" max="13059" width="24" bestFit="1" customWidth="1"/>
    <col min="13060" max="13060" width="47.140625" bestFit="1" customWidth="1"/>
    <col min="13061" max="13061" width="18.140625" bestFit="1" customWidth="1"/>
    <col min="13062" max="13063" width="9.28515625" bestFit="1" customWidth="1"/>
    <col min="13064" max="13064" width="12.85546875" bestFit="1" customWidth="1"/>
    <col min="13065" max="13065" width="7.7109375" bestFit="1" customWidth="1"/>
    <col min="13066" max="13066" width="9.28515625" bestFit="1" customWidth="1"/>
    <col min="13067" max="13067" width="12.28515625" bestFit="1" customWidth="1"/>
    <col min="13068" max="13068" width="13.28515625" bestFit="1" customWidth="1"/>
    <col min="13313" max="13313" width="15.85546875" bestFit="1" customWidth="1"/>
    <col min="13314" max="13314" width="10.140625" bestFit="1" customWidth="1"/>
    <col min="13315" max="13315" width="24" bestFit="1" customWidth="1"/>
    <col min="13316" max="13316" width="47.140625" bestFit="1" customWidth="1"/>
    <col min="13317" max="13317" width="18.140625" bestFit="1" customWidth="1"/>
    <col min="13318" max="13319" width="9.28515625" bestFit="1" customWidth="1"/>
    <col min="13320" max="13320" width="12.85546875" bestFit="1" customWidth="1"/>
    <col min="13321" max="13321" width="7.7109375" bestFit="1" customWidth="1"/>
    <col min="13322" max="13322" width="9.28515625" bestFit="1" customWidth="1"/>
    <col min="13323" max="13323" width="12.28515625" bestFit="1" customWidth="1"/>
    <col min="13324" max="13324" width="13.28515625" bestFit="1" customWidth="1"/>
    <col min="13569" max="13569" width="15.85546875" bestFit="1" customWidth="1"/>
    <col min="13570" max="13570" width="10.140625" bestFit="1" customWidth="1"/>
    <col min="13571" max="13571" width="24" bestFit="1" customWidth="1"/>
    <col min="13572" max="13572" width="47.140625" bestFit="1" customWidth="1"/>
    <col min="13573" max="13573" width="18.140625" bestFit="1" customWidth="1"/>
    <col min="13574" max="13575" width="9.28515625" bestFit="1" customWidth="1"/>
    <col min="13576" max="13576" width="12.85546875" bestFit="1" customWidth="1"/>
    <col min="13577" max="13577" width="7.7109375" bestFit="1" customWidth="1"/>
    <col min="13578" max="13578" width="9.28515625" bestFit="1" customWidth="1"/>
    <col min="13579" max="13579" width="12.28515625" bestFit="1" customWidth="1"/>
    <col min="13580" max="13580" width="13.28515625" bestFit="1" customWidth="1"/>
    <col min="13825" max="13825" width="15.85546875" bestFit="1" customWidth="1"/>
    <col min="13826" max="13826" width="10.140625" bestFit="1" customWidth="1"/>
    <col min="13827" max="13827" width="24" bestFit="1" customWidth="1"/>
    <col min="13828" max="13828" width="47.140625" bestFit="1" customWidth="1"/>
    <col min="13829" max="13829" width="18.140625" bestFit="1" customWidth="1"/>
    <col min="13830" max="13831" width="9.28515625" bestFit="1" customWidth="1"/>
    <col min="13832" max="13832" width="12.85546875" bestFit="1" customWidth="1"/>
    <col min="13833" max="13833" width="7.7109375" bestFit="1" customWidth="1"/>
    <col min="13834" max="13834" width="9.28515625" bestFit="1" customWidth="1"/>
    <col min="13835" max="13835" width="12.28515625" bestFit="1" customWidth="1"/>
    <col min="13836" max="13836" width="13.28515625" bestFit="1" customWidth="1"/>
    <col min="14081" max="14081" width="15.85546875" bestFit="1" customWidth="1"/>
    <col min="14082" max="14082" width="10.140625" bestFit="1" customWidth="1"/>
    <col min="14083" max="14083" width="24" bestFit="1" customWidth="1"/>
    <col min="14084" max="14084" width="47.140625" bestFit="1" customWidth="1"/>
    <col min="14085" max="14085" width="18.140625" bestFit="1" customWidth="1"/>
    <col min="14086" max="14087" width="9.28515625" bestFit="1" customWidth="1"/>
    <col min="14088" max="14088" width="12.85546875" bestFit="1" customWidth="1"/>
    <col min="14089" max="14089" width="7.7109375" bestFit="1" customWidth="1"/>
    <col min="14090" max="14090" width="9.28515625" bestFit="1" customWidth="1"/>
    <col min="14091" max="14091" width="12.28515625" bestFit="1" customWidth="1"/>
    <col min="14092" max="14092" width="13.28515625" bestFit="1" customWidth="1"/>
    <col min="14337" max="14337" width="15.85546875" bestFit="1" customWidth="1"/>
    <col min="14338" max="14338" width="10.140625" bestFit="1" customWidth="1"/>
    <col min="14339" max="14339" width="24" bestFit="1" customWidth="1"/>
    <col min="14340" max="14340" width="47.140625" bestFit="1" customWidth="1"/>
    <col min="14341" max="14341" width="18.140625" bestFit="1" customWidth="1"/>
    <col min="14342" max="14343" width="9.28515625" bestFit="1" customWidth="1"/>
    <col min="14344" max="14344" width="12.85546875" bestFit="1" customWidth="1"/>
    <col min="14345" max="14345" width="7.7109375" bestFit="1" customWidth="1"/>
    <col min="14346" max="14346" width="9.28515625" bestFit="1" customWidth="1"/>
    <col min="14347" max="14347" width="12.28515625" bestFit="1" customWidth="1"/>
    <col min="14348" max="14348" width="13.28515625" bestFit="1" customWidth="1"/>
    <col min="14593" max="14593" width="15.85546875" bestFit="1" customWidth="1"/>
    <col min="14594" max="14594" width="10.140625" bestFit="1" customWidth="1"/>
    <col min="14595" max="14595" width="24" bestFit="1" customWidth="1"/>
    <col min="14596" max="14596" width="47.140625" bestFit="1" customWidth="1"/>
    <col min="14597" max="14597" width="18.140625" bestFit="1" customWidth="1"/>
    <col min="14598" max="14599" width="9.28515625" bestFit="1" customWidth="1"/>
    <col min="14600" max="14600" width="12.85546875" bestFit="1" customWidth="1"/>
    <col min="14601" max="14601" width="7.7109375" bestFit="1" customWidth="1"/>
    <col min="14602" max="14602" width="9.28515625" bestFit="1" customWidth="1"/>
    <col min="14603" max="14603" width="12.28515625" bestFit="1" customWidth="1"/>
    <col min="14604" max="14604" width="13.28515625" bestFit="1" customWidth="1"/>
    <col min="14849" max="14849" width="15.85546875" bestFit="1" customWidth="1"/>
    <col min="14850" max="14850" width="10.140625" bestFit="1" customWidth="1"/>
    <col min="14851" max="14851" width="24" bestFit="1" customWidth="1"/>
    <col min="14852" max="14852" width="47.140625" bestFit="1" customWidth="1"/>
    <col min="14853" max="14853" width="18.140625" bestFit="1" customWidth="1"/>
    <col min="14854" max="14855" width="9.28515625" bestFit="1" customWidth="1"/>
    <col min="14856" max="14856" width="12.85546875" bestFit="1" customWidth="1"/>
    <col min="14857" max="14857" width="7.7109375" bestFit="1" customWidth="1"/>
    <col min="14858" max="14858" width="9.28515625" bestFit="1" customWidth="1"/>
    <col min="14859" max="14859" width="12.28515625" bestFit="1" customWidth="1"/>
    <col min="14860" max="14860" width="13.28515625" bestFit="1" customWidth="1"/>
    <col min="15105" max="15105" width="15.85546875" bestFit="1" customWidth="1"/>
    <col min="15106" max="15106" width="10.140625" bestFit="1" customWidth="1"/>
    <col min="15107" max="15107" width="24" bestFit="1" customWidth="1"/>
    <col min="15108" max="15108" width="47.140625" bestFit="1" customWidth="1"/>
    <col min="15109" max="15109" width="18.140625" bestFit="1" customWidth="1"/>
    <col min="15110" max="15111" width="9.28515625" bestFit="1" customWidth="1"/>
    <col min="15112" max="15112" width="12.85546875" bestFit="1" customWidth="1"/>
    <col min="15113" max="15113" width="7.7109375" bestFit="1" customWidth="1"/>
    <col min="15114" max="15114" width="9.28515625" bestFit="1" customWidth="1"/>
    <col min="15115" max="15115" width="12.28515625" bestFit="1" customWidth="1"/>
    <col min="15116" max="15116" width="13.28515625" bestFit="1" customWidth="1"/>
    <col min="15361" max="15361" width="15.85546875" bestFit="1" customWidth="1"/>
    <col min="15362" max="15362" width="10.140625" bestFit="1" customWidth="1"/>
    <col min="15363" max="15363" width="24" bestFit="1" customWidth="1"/>
    <col min="15364" max="15364" width="47.140625" bestFit="1" customWidth="1"/>
    <col min="15365" max="15365" width="18.140625" bestFit="1" customWidth="1"/>
    <col min="15366" max="15367" width="9.28515625" bestFit="1" customWidth="1"/>
    <col min="15368" max="15368" width="12.85546875" bestFit="1" customWidth="1"/>
    <col min="15369" max="15369" width="7.7109375" bestFit="1" customWidth="1"/>
    <col min="15370" max="15370" width="9.28515625" bestFit="1" customWidth="1"/>
    <col min="15371" max="15371" width="12.28515625" bestFit="1" customWidth="1"/>
    <col min="15372" max="15372" width="13.28515625" bestFit="1" customWidth="1"/>
    <col min="15617" max="15617" width="15.85546875" bestFit="1" customWidth="1"/>
    <col min="15618" max="15618" width="10.140625" bestFit="1" customWidth="1"/>
    <col min="15619" max="15619" width="24" bestFit="1" customWidth="1"/>
    <col min="15620" max="15620" width="47.140625" bestFit="1" customWidth="1"/>
    <col min="15621" max="15621" width="18.140625" bestFit="1" customWidth="1"/>
    <col min="15622" max="15623" width="9.28515625" bestFit="1" customWidth="1"/>
    <col min="15624" max="15624" width="12.85546875" bestFit="1" customWidth="1"/>
    <col min="15625" max="15625" width="7.7109375" bestFit="1" customWidth="1"/>
    <col min="15626" max="15626" width="9.28515625" bestFit="1" customWidth="1"/>
    <col min="15627" max="15627" width="12.28515625" bestFit="1" customWidth="1"/>
    <col min="15628" max="15628" width="13.28515625" bestFit="1" customWidth="1"/>
    <col min="15873" max="15873" width="15.85546875" bestFit="1" customWidth="1"/>
    <col min="15874" max="15874" width="10.140625" bestFit="1" customWidth="1"/>
    <col min="15875" max="15875" width="24" bestFit="1" customWidth="1"/>
    <col min="15876" max="15876" width="47.140625" bestFit="1" customWidth="1"/>
    <col min="15877" max="15877" width="18.140625" bestFit="1" customWidth="1"/>
    <col min="15878" max="15879" width="9.28515625" bestFit="1" customWidth="1"/>
    <col min="15880" max="15880" width="12.85546875" bestFit="1" customWidth="1"/>
    <col min="15881" max="15881" width="7.7109375" bestFit="1" customWidth="1"/>
    <col min="15882" max="15882" width="9.28515625" bestFit="1" customWidth="1"/>
    <col min="15883" max="15883" width="12.28515625" bestFit="1" customWidth="1"/>
    <col min="15884" max="15884" width="13.28515625" bestFit="1" customWidth="1"/>
    <col min="16129" max="16129" width="15.85546875" bestFit="1" customWidth="1"/>
    <col min="16130" max="16130" width="10.140625" bestFit="1" customWidth="1"/>
    <col min="16131" max="16131" width="24" bestFit="1" customWidth="1"/>
    <col min="16132" max="16132" width="47.140625" bestFit="1" customWidth="1"/>
    <col min="16133" max="16133" width="18.140625" bestFit="1" customWidth="1"/>
    <col min="16134" max="16135" width="9.28515625" bestFit="1" customWidth="1"/>
    <col min="16136" max="16136" width="12.85546875" bestFit="1" customWidth="1"/>
    <col min="16137" max="16137" width="7.7109375" bestFit="1" customWidth="1"/>
    <col min="16138" max="16138" width="9.28515625" bestFit="1" customWidth="1"/>
    <col min="16139" max="16139" width="12.28515625" bestFit="1" customWidth="1"/>
    <col min="16140" max="16140" width="13.28515625" bestFit="1" customWidth="1"/>
  </cols>
  <sheetData>
    <row r="1" spans="1:12" ht="69.95" customHeight="1" x14ac:dyDescent="0.2"/>
    <row r="2" spans="1:12" ht="14.1" customHeight="1" x14ac:dyDescent="0.2">
      <c r="D2" s="1" t="s">
        <v>0</v>
      </c>
    </row>
    <row r="3" spans="1:12" ht="18" customHeight="1" outlineLevel="2" x14ac:dyDescent="0.2">
      <c r="A3" s="2" t="s">
        <v>1</v>
      </c>
      <c r="B3" s="3" t="s">
        <v>2</v>
      </c>
      <c r="C3" s="2" t="s">
        <v>3</v>
      </c>
      <c r="D3" s="3" t="s">
        <v>4</v>
      </c>
      <c r="E3" s="2" t="s">
        <v>5</v>
      </c>
      <c r="F3" s="3" t="s">
        <v>26</v>
      </c>
    </row>
    <row r="4" spans="1:12" ht="24" customHeight="1" outlineLevel="2" x14ac:dyDescent="0.2">
      <c r="A4" s="4" t="s">
        <v>6</v>
      </c>
      <c r="C4" s="4" t="s">
        <v>7</v>
      </c>
      <c r="D4" s="4" t="s">
        <v>8</v>
      </c>
      <c r="F4" s="4" t="s">
        <v>9</v>
      </c>
    </row>
    <row r="5" spans="1:12" ht="24" customHeight="1" outlineLevel="2" thickBot="1" x14ac:dyDescent="0.25">
      <c r="A5" s="4" t="s">
        <v>10</v>
      </c>
      <c r="B5" s="4" t="s">
        <v>11</v>
      </c>
      <c r="C5" s="4" t="s">
        <v>12</v>
      </c>
      <c r="D5" s="4" t="s">
        <v>13</v>
      </c>
      <c r="E5" s="4" t="s">
        <v>14</v>
      </c>
      <c r="F5" s="4" t="s">
        <v>15</v>
      </c>
      <c r="G5" s="4" t="s">
        <v>13</v>
      </c>
      <c r="H5" s="4" t="s">
        <v>16</v>
      </c>
      <c r="I5" s="4" t="s">
        <v>11</v>
      </c>
      <c r="J5" s="4" t="s">
        <v>13</v>
      </c>
      <c r="K5" s="5" t="s">
        <v>16</v>
      </c>
      <c r="L5" s="4" t="s">
        <v>17</v>
      </c>
    </row>
    <row r="6" spans="1:12" ht="11.1" customHeight="1" outlineLevel="4" x14ac:dyDescent="0.2">
      <c r="A6" s="6" t="s">
        <v>27</v>
      </c>
      <c r="B6" s="23">
        <v>45691</v>
      </c>
      <c r="C6" s="7" t="s">
        <v>28</v>
      </c>
      <c r="D6" s="8">
        <v>6489.33</v>
      </c>
      <c r="E6" s="8">
        <v>44.7</v>
      </c>
      <c r="F6" s="20"/>
    </row>
    <row r="7" spans="1:12" ht="8.4499999999999993" customHeight="1" outlineLevel="4" x14ac:dyDescent="0.2">
      <c r="A7" s="10" t="s">
        <v>29</v>
      </c>
      <c r="F7" s="11"/>
    </row>
    <row r="8" spans="1:12" ht="11.1" customHeight="1" outlineLevel="7" x14ac:dyDescent="0.2">
      <c r="A8" s="12"/>
      <c r="C8" s="24" t="s">
        <v>30</v>
      </c>
      <c r="D8" s="25" t="s">
        <v>31</v>
      </c>
      <c r="F8" s="13" t="s">
        <v>21</v>
      </c>
    </row>
    <row r="9" spans="1:12" ht="11.45" customHeight="1" outlineLevel="7" x14ac:dyDescent="0.2">
      <c r="A9" s="12"/>
      <c r="C9" s="26" t="s">
        <v>32</v>
      </c>
      <c r="E9" s="26" t="s">
        <v>33</v>
      </c>
      <c r="F9" s="14">
        <v>488</v>
      </c>
    </row>
    <row r="10" spans="1:12" ht="11.1" customHeight="1" outlineLevel="7" x14ac:dyDescent="0.2">
      <c r="A10" s="12"/>
      <c r="C10" s="24" t="s">
        <v>30</v>
      </c>
      <c r="D10" s="25" t="s">
        <v>31</v>
      </c>
      <c r="F10" s="13" t="s">
        <v>21</v>
      </c>
    </row>
    <row r="11" spans="1:12" ht="11.45" customHeight="1" outlineLevel="7" x14ac:dyDescent="0.2">
      <c r="A11" s="12"/>
      <c r="C11" s="26" t="s">
        <v>32</v>
      </c>
      <c r="E11" s="26" t="s">
        <v>34</v>
      </c>
      <c r="F11" s="14">
        <v>206</v>
      </c>
    </row>
    <row r="12" spans="1:12" ht="11.1" customHeight="1" outlineLevel="7" x14ac:dyDescent="0.2">
      <c r="A12" s="12"/>
      <c r="C12" s="24" t="s">
        <v>35</v>
      </c>
      <c r="D12" s="25" t="s">
        <v>36</v>
      </c>
      <c r="F12" s="13" t="s">
        <v>37</v>
      </c>
    </row>
    <row r="13" spans="1:12" ht="11.45" customHeight="1" outlineLevel="7" x14ac:dyDescent="0.2">
      <c r="A13" s="12"/>
      <c r="E13" s="26" t="s">
        <v>38</v>
      </c>
      <c r="F13" s="14">
        <v>2208.48</v>
      </c>
    </row>
    <row r="14" spans="1:12" ht="13.5" outlineLevel="4" thickBot="1" x14ac:dyDescent="0.25">
      <c r="A14" s="15"/>
      <c r="B14" s="16"/>
      <c r="C14" s="16"/>
      <c r="D14" s="16"/>
      <c r="E14" s="16"/>
      <c r="F14" s="17"/>
    </row>
    <row r="15" spans="1:12" ht="11.1" customHeight="1" outlineLevel="4" x14ac:dyDescent="0.2">
      <c r="A15" s="6" t="s">
        <v>25</v>
      </c>
      <c r="B15" s="23">
        <v>45815</v>
      </c>
      <c r="C15" s="7" t="s">
        <v>39</v>
      </c>
      <c r="D15" s="8">
        <v>880</v>
      </c>
      <c r="E15" s="8">
        <v>69.5</v>
      </c>
      <c r="F15" s="9">
        <v>5</v>
      </c>
    </row>
    <row r="16" spans="1:12" ht="8.4499999999999993" customHeight="1" outlineLevel="4" x14ac:dyDescent="0.2">
      <c r="A16" s="10" t="s">
        <v>24</v>
      </c>
      <c r="F16" s="11"/>
    </row>
    <row r="17" spans="1:6" ht="11.45" customHeight="1" outlineLevel="6" x14ac:dyDescent="0.2">
      <c r="A17" s="12"/>
      <c r="C17" s="25" t="s">
        <v>23</v>
      </c>
      <c r="D17" s="27">
        <v>44</v>
      </c>
      <c r="F17" s="11"/>
    </row>
    <row r="18" spans="1:6" ht="11.1" customHeight="1" outlineLevel="7" x14ac:dyDescent="0.2">
      <c r="A18" s="12"/>
      <c r="C18" s="24" t="s">
        <v>19</v>
      </c>
      <c r="D18" s="25" t="s">
        <v>20</v>
      </c>
      <c r="F18" s="13" t="s">
        <v>21</v>
      </c>
    </row>
    <row r="19" spans="1:6" ht="11.45" customHeight="1" outlineLevel="7" x14ac:dyDescent="0.2">
      <c r="A19" s="12"/>
      <c r="E19" s="26" t="s">
        <v>22</v>
      </c>
      <c r="F19" s="14">
        <v>230</v>
      </c>
    </row>
    <row r="20" spans="1:6" ht="11.1" customHeight="1" outlineLevel="7" x14ac:dyDescent="0.2">
      <c r="A20" s="12"/>
      <c r="C20" s="24" t="s">
        <v>40</v>
      </c>
      <c r="D20" s="25" t="s">
        <v>41</v>
      </c>
      <c r="F20" s="13" t="s">
        <v>37</v>
      </c>
    </row>
    <row r="21" spans="1:6" ht="11.45" customHeight="1" outlineLevel="7" x14ac:dyDescent="0.2">
      <c r="A21" s="12"/>
      <c r="E21" s="26" t="s">
        <v>42</v>
      </c>
      <c r="F21" s="14">
        <v>381.67</v>
      </c>
    </row>
    <row r="22" spans="1:6" ht="13.5" outlineLevel="4" thickBot="1" x14ac:dyDescent="0.25">
      <c r="A22" s="15"/>
      <c r="B22" s="16"/>
      <c r="C22" s="16"/>
      <c r="D22" s="16"/>
      <c r="E22" s="16"/>
      <c r="F22" s="17"/>
    </row>
    <row r="23" spans="1:6" ht="11.1" customHeight="1" outlineLevel="4" x14ac:dyDescent="0.2">
      <c r="A23" s="6" t="s">
        <v>43</v>
      </c>
      <c r="B23" s="7" t="s">
        <v>44</v>
      </c>
      <c r="C23" s="7" t="s">
        <v>45</v>
      </c>
      <c r="D23" s="8">
        <v>593.17999999999995</v>
      </c>
      <c r="E23" s="8">
        <v>75.099999999999994</v>
      </c>
      <c r="F23" s="9">
        <v>2.6</v>
      </c>
    </row>
    <row r="24" spans="1:6" ht="8.4499999999999993" customHeight="1" outlineLevel="4" x14ac:dyDescent="0.2">
      <c r="A24" s="10" t="s">
        <v>46</v>
      </c>
      <c r="F24" s="11"/>
    </row>
    <row r="25" spans="1:6" ht="11.45" customHeight="1" outlineLevel="6" x14ac:dyDescent="0.2">
      <c r="A25" s="12"/>
      <c r="C25" s="25" t="s">
        <v>47</v>
      </c>
      <c r="D25" s="27">
        <v>2</v>
      </c>
      <c r="F25" s="11"/>
    </row>
    <row r="26" spans="1:6" ht="11.45" customHeight="1" outlineLevel="6" x14ac:dyDescent="0.2">
      <c r="A26" s="12"/>
      <c r="C26" s="25" t="s">
        <v>48</v>
      </c>
      <c r="D26" s="27">
        <v>13.5</v>
      </c>
      <c r="F26" s="11"/>
    </row>
    <row r="27" spans="1:6" ht="11.1" customHeight="1" outlineLevel="7" x14ac:dyDescent="0.2">
      <c r="A27" s="12"/>
      <c r="C27" s="24" t="s">
        <v>49</v>
      </c>
      <c r="D27" s="25" t="s">
        <v>50</v>
      </c>
      <c r="F27" s="13" t="s">
        <v>21</v>
      </c>
    </row>
    <row r="28" spans="1:6" ht="11.45" customHeight="1" outlineLevel="7" x14ac:dyDescent="0.2">
      <c r="A28" s="12"/>
      <c r="C28" s="26" t="s">
        <v>32</v>
      </c>
      <c r="E28" s="26" t="s">
        <v>34</v>
      </c>
      <c r="F28" s="14">
        <v>268.5</v>
      </c>
    </row>
    <row r="29" spans="1:6" ht="11.1" customHeight="1" outlineLevel="7" x14ac:dyDescent="0.2">
      <c r="A29" s="12"/>
      <c r="C29" s="24" t="s">
        <v>51</v>
      </c>
      <c r="D29" s="25" t="s">
        <v>52</v>
      </c>
      <c r="F29" s="13" t="s">
        <v>37</v>
      </c>
    </row>
    <row r="30" spans="1:6" ht="11.45" customHeight="1" outlineLevel="7" x14ac:dyDescent="0.2">
      <c r="A30" s="12"/>
      <c r="E30" s="26" t="s">
        <v>53</v>
      </c>
      <c r="F30" s="14">
        <v>41.62</v>
      </c>
    </row>
    <row r="31" spans="1:6" ht="11.1" customHeight="1" outlineLevel="7" x14ac:dyDescent="0.2">
      <c r="A31" s="12"/>
      <c r="C31" s="24" t="s">
        <v>54</v>
      </c>
      <c r="D31" s="25" t="s">
        <v>55</v>
      </c>
      <c r="F31" s="13" t="s">
        <v>37</v>
      </c>
    </row>
    <row r="32" spans="1:6" ht="11.45" customHeight="1" outlineLevel="7" x14ac:dyDescent="0.2">
      <c r="A32" s="12"/>
      <c r="E32" s="26" t="s">
        <v>56</v>
      </c>
      <c r="F32" s="14">
        <v>135.34</v>
      </c>
    </row>
    <row r="33" spans="1:10" ht="13.5" outlineLevel="4" thickBot="1" x14ac:dyDescent="0.25">
      <c r="A33" s="15"/>
      <c r="B33" s="16"/>
      <c r="C33" s="16"/>
      <c r="D33" s="16"/>
      <c r="E33" s="16"/>
      <c r="F33" s="17"/>
    </row>
    <row r="34" spans="1:10" ht="11.1" customHeight="1" outlineLevel="4" x14ac:dyDescent="0.2">
      <c r="A34" s="6" t="s">
        <v>43</v>
      </c>
      <c r="B34" s="7" t="s">
        <v>57</v>
      </c>
      <c r="C34" s="7" t="s">
        <v>45</v>
      </c>
      <c r="D34" s="8">
        <v>570.55999999999995</v>
      </c>
      <c r="E34" s="8">
        <v>74.099999999999994</v>
      </c>
      <c r="F34" s="9">
        <v>2.5</v>
      </c>
    </row>
    <row r="35" spans="1:10" ht="8.4499999999999993" customHeight="1" outlineLevel="4" x14ac:dyDescent="0.2">
      <c r="A35" s="10" t="s">
        <v>46</v>
      </c>
      <c r="F35" s="11"/>
      <c r="G35" s="24"/>
      <c r="H35" s="25"/>
      <c r="J35" s="13"/>
    </row>
    <row r="36" spans="1:10" ht="11.45" customHeight="1" outlineLevel="6" x14ac:dyDescent="0.2">
      <c r="A36" s="12"/>
      <c r="C36" s="25" t="s">
        <v>47</v>
      </c>
      <c r="D36" s="27">
        <v>2</v>
      </c>
      <c r="F36" s="11"/>
      <c r="G36" s="26"/>
      <c r="I36" s="26"/>
      <c r="J36" s="14"/>
    </row>
    <row r="37" spans="1:10" ht="11.45" customHeight="1" outlineLevel="6" x14ac:dyDescent="0.2">
      <c r="A37" s="12"/>
      <c r="C37" s="25" t="s">
        <v>48</v>
      </c>
      <c r="D37" s="27">
        <v>12</v>
      </c>
      <c r="F37" s="11"/>
    </row>
    <row r="38" spans="1:10" ht="11.1" customHeight="1" outlineLevel="7" x14ac:dyDescent="0.2">
      <c r="A38" s="12"/>
      <c r="C38" s="24" t="s">
        <v>58</v>
      </c>
      <c r="D38" s="25" t="s">
        <v>59</v>
      </c>
      <c r="F38" s="13" t="s">
        <v>21</v>
      </c>
    </row>
    <row r="39" spans="1:10" ht="11.45" customHeight="1" outlineLevel="7" x14ac:dyDescent="0.2">
      <c r="A39" s="12"/>
      <c r="C39" s="26" t="s">
        <v>32</v>
      </c>
      <c r="E39" s="26" t="s">
        <v>34</v>
      </c>
      <c r="F39" s="14">
        <v>212.5</v>
      </c>
    </row>
    <row r="40" spans="1:10" ht="11.1" customHeight="1" outlineLevel="7" x14ac:dyDescent="0.2">
      <c r="A40" s="12"/>
      <c r="C40" s="24" t="s">
        <v>58</v>
      </c>
      <c r="D40" s="25" t="s">
        <v>59</v>
      </c>
      <c r="F40" s="13" t="s">
        <v>21</v>
      </c>
    </row>
    <row r="41" spans="1:10" ht="11.45" customHeight="1" outlineLevel="7" x14ac:dyDescent="0.2">
      <c r="A41" s="12"/>
      <c r="C41" s="26" t="s">
        <v>32</v>
      </c>
      <c r="E41" s="26" t="s">
        <v>34</v>
      </c>
      <c r="F41" s="14">
        <v>212.5</v>
      </c>
    </row>
    <row r="42" spans="1:10" ht="11.1" customHeight="1" outlineLevel="7" x14ac:dyDescent="0.2">
      <c r="A42" s="12"/>
      <c r="C42" s="24" t="s">
        <v>19</v>
      </c>
      <c r="D42" s="25" t="s">
        <v>20</v>
      </c>
      <c r="F42" s="13" t="s">
        <v>21</v>
      </c>
    </row>
    <row r="43" spans="1:10" ht="11.45" customHeight="1" outlineLevel="7" x14ac:dyDescent="0.2">
      <c r="A43" s="12"/>
      <c r="E43" s="26" t="s">
        <v>22</v>
      </c>
      <c r="F43" s="14">
        <v>578</v>
      </c>
    </row>
    <row r="44" spans="1:10" outlineLevel="4" x14ac:dyDescent="0.2">
      <c r="A44" s="12"/>
      <c r="C44" s="24" t="s">
        <v>60</v>
      </c>
      <c r="D44" s="25" t="s">
        <v>61</v>
      </c>
      <c r="F44" s="13" t="s">
        <v>37</v>
      </c>
    </row>
    <row r="45" spans="1:10" ht="11.1" customHeight="1" outlineLevel="4" x14ac:dyDescent="0.2">
      <c r="A45" s="12"/>
      <c r="E45" s="26" t="s">
        <v>62</v>
      </c>
      <c r="F45" s="14">
        <v>78.3</v>
      </c>
    </row>
    <row r="46" spans="1:10" ht="8.4499999999999993" customHeight="1" outlineLevel="4" x14ac:dyDescent="0.2">
      <c r="A46" s="12"/>
      <c r="C46" s="24" t="s">
        <v>63</v>
      </c>
      <c r="D46" s="25" t="s">
        <v>64</v>
      </c>
      <c r="F46" s="13" t="s">
        <v>37</v>
      </c>
    </row>
    <row r="47" spans="1:10" ht="11.45" customHeight="1" outlineLevel="6" x14ac:dyDescent="0.2">
      <c r="A47" s="12"/>
      <c r="E47" s="26" t="s">
        <v>65</v>
      </c>
      <c r="F47" s="14">
        <v>132.27000000000001</v>
      </c>
    </row>
    <row r="48" spans="1:10" ht="11.45" customHeight="1" outlineLevel="6" thickBot="1" x14ac:dyDescent="0.25">
      <c r="A48" s="15"/>
      <c r="B48" s="16"/>
      <c r="C48" s="16"/>
      <c r="D48" s="16"/>
      <c r="E48" s="16"/>
      <c r="F48" s="17"/>
    </row>
    <row r="49" spans="1:9" ht="11.1" customHeight="1" outlineLevel="7" x14ac:dyDescent="0.2">
      <c r="A49" s="6" t="s">
        <v>66</v>
      </c>
      <c r="B49" s="7" t="s">
        <v>18</v>
      </c>
      <c r="C49" s="7" t="s">
        <v>67</v>
      </c>
      <c r="D49" s="8">
        <v>5190.6000000000004</v>
      </c>
      <c r="E49" s="8">
        <v>69.2</v>
      </c>
      <c r="F49" s="9">
        <v>5.5</v>
      </c>
      <c r="H49" t="s">
        <v>73</v>
      </c>
      <c r="I49" t="s">
        <v>74</v>
      </c>
    </row>
    <row r="50" spans="1:9" ht="11.45" customHeight="1" outlineLevel="7" x14ac:dyDescent="0.2">
      <c r="A50" s="10" t="s">
        <v>46</v>
      </c>
      <c r="F50" s="11"/>
    </row>
    <row r="51" spans="1:9" ht="11.1" customHeight="1" outlineLevel="7" x14ac:dyDescent="0.2">
      <c r="A51" s="12"/>
      <c r="C51" s="25" t="s">
        <v>48</v>
      </c>
      <c r="D51" s="27">
        <v>11.5</v>
      </c>
      <c r="F51" s="11"/>
    </row>
    <row r="52" spans="1:9" ht="11.45" customHeight="1" outlineLevel="7" x14ac:dyDescent="0.2">
      <c r="A52" s="12"/>
      <c r="C52" s="25" t="s">
        <v>23</v>
      </c>
      <c r="D52" s="27">
        <v>271.5</v>
      </c>
      <c r="F52" s="11"/>
    </row>
    <row r="53" spans="1:9" ht="11.1" customHeight="1" outlineLevel="7" x14ac:dyDescent="0.2">
      <c r="A53" s="12"/>
      <c r="C53" s="24" t="s">
        <v>19</v>
      </c>
      <c r="D53" s="25" t="s">
        <v>20</v>
      </c>
      <c r="F53" s="13" t="s">
        <v>21</v>
      </c>
    </row>
    <row r="54" spans="1:9" ht="11.45" customHeight="1" outlineLevel="7" x14ac:dyDescent="0.2">
      <c r="A54" s="12"/>
      <c r="E54" s="26" t="s">
        <v>68</v>
      </c>
      <c r="F54" s="14">
        <v>523</v>
      </c>
    </row>
    <row r="55" spans="1:9" ht="11.1" customHeight="1" outlineLevel="7" x14ac:dyDescent="0.2">
      <c r="A55" s="12"/>
      <c r="C55" s="24" t="s">
        <v>19</v>
      </c>
      <c r="D55" s="25" t="s">
        <v>20</v>
      </c>
      <c r="F55" s="13" t="s">
        <v>21</v>
      </c>
    </row>
    <row r="56" spans="1:9" ht="11.45" customHeight="1" outlineLevel="7" x14ac:dyDescent="0.2">
      <c r="A56" s="12"/>
      <c r="E56" s="26" t="s">
        <v>22</v>
      </c>
      <c r="F56" s="14">
        <v>578</v>
      </c>
    </row>
    <row r="57" spans="1:9" outlineLevel="4" x14ac:dyDescent="0.2">
      <c r="A57" s="12"/>
      <c r="C57" s="24" t="s">
        <v>40</v>
      </c>
      <c r="D57" s="25" t="s">
        <v>41</v>
      </c>
      <c r="F57" s="13" t="s">
        <v>37</v>
      </c>
    </row>
    <row r="58" spans="1:9" ht="12.75" customHeight="1" x14ac:dyDescent="0.2">
      <c r="A58" s="12"/>
      <c r="E58" s="26" t="s">
        <v>69</v>
      </c>
      <c r="F58" s="14">
        <v>147.43</v>
      </c>
    </row>
    <row r="59" spans="1:9" ht="12.75" customHeight="1" x14ac:dyDescent="0.2">
      <c r="A59" s="12"/>
      <c r="C59" s="24" t="s">
        <v>40</v>
      </c>
      <c r="D59" s="25" t="s">
        <v>41</v>
      </c>
      <c r="F59" s="13" t="s">
        <v>37</v>
      </c>
    </row>
    <row r="60" spans="1:9" ht="12.75" customHeight="1" thickBot="1" x14ac:dyDescent="0.25">
      <c r="A60" s="15"/>
      <c r="B60" s="16"/>
      <c r="C60" s="16"/>
      <c r="D60" s="16"/>
      <c r="E60" s="18" t="s">
        <v>42</v>
      </c>
      <c r="F60" s="19">
        <v>2342.9499999999998</v>
      </c>
    </row>
    <row r="61" spans="1:9" ht="12.75" customHeight="1" x14ac:dyDescent="0.2">
      <c r="A61" s="2" t="s">
        <v>1</v>
      </c>
      <c r="B61" s="3" t="s">
        <v>2</v>
      </c>
      <c r="C61" s="2" t="s">
        <v>3</v>
      </c>
      <c r="D61" t="s">
        <v>71</v>
      </c>
      <c r="E61" s="2" t="s">
        <v>5</v>
      </c>
      <c r="F61" s="3" t="s">
        <v>26</v>
      </c>
    </row>
    <row r="62" spans="1:9" ht="12.75" customHeight="1" x14ac:dyDescent="0.2">
      <c r="A62" s="4" t="s">
        <v>6</v>
      </c>
      <c r="C62" s="4" t="s">
        <v>7</v>
      </c>
      <c r="D62" s="4" t="s">
        <v>8</v>
      </c>
      <c r="F62" s="4" t="s">
        <v>9</v>
      </c>
    </row>
    <row r="63" spans="1:9" ht="12.75" customHeight="1" thickBot="1" x14ac:dyDescent="0.25">
      <c r="A63" s="4" t="s">
        <v>10</v>
      </c>
      <c r="B63" s="4" t="s">
        <v>11</v>
      </c>
      <c r="C63" s="4" t="s">
        <v>12</v>
      </c>
      <c r="D63" s="4" t="s">
        <v>13</v>
      </c>
      <c r="E63" s="4" t="s">
        <v>14</v>
      </c>
      <c r="F63" s="4" t="s">
        <v>15</v>
      </c>
    </row>
    <row r="64" spans="1:9" ht="12.75" customHeight="1" x14ac:dyDescent="0.2">
      <c r="A64" s="6" t="s">
        <v>27</v>
      </c>
      <c r="B64" s="23">
        <v>45691</v>
      </c>
      <c r="C64" s="7" t="s">
        <v>28</v>
      </c>
      <c r="D64" s="8">
        <v>6489.33</v>
      </c>
      <c r="E64" s="8">
        <v>44.7</v>
      </c>
      <c r="F64" s="20"/>
    </row>
    <row r="65" spans="1:6" ht="12.75" customHeight="1" x14ac:dyDescent="0.2">
      <c r="A65" s="10" t="s">
        <v>29</v>
      </c>
      <c r="F65" s="11"/>
    </row>
    <row r="66" spans="1:6" ht="12.75" customHeight="1" x14ac:dyDescent="0.2">
      <c r="A66" s="12"/>
      <c r="C66" s="24" t="s">
        <v>30</v>
      </c>
      <c r="D66" s="25" t="s">
        <v>31</v>
      </c>
      <c r="F66" s="13" t="s">
        <v>21</v>
      </c>
    </row>
    <row r="67" spans="1:6" ht="12.75" customHeight="1" x14ac:dyDescent="0.2">
      <c r="A67" s="12"/>
      <c r="C67" s="26" t="s">
        <v>32</v>
      </c>
      <c r="E67" s="26" t="s">
        <v>33</v>
      </c>
      <c r="F67" s="14">
        <v>488</v>
      </c>
    </row>
    <row r="68" spans="1:6" ht="12.75" customHeight="1" x14ac:dyDescent="0.2">
      <c r="A68" s="12"/>
      <c r="C68" s="24" t="s">
        <v>30</v>
      </c>
      <c r="D68" s="25" t="s">
        <v>31</v>
      </c>
      <c r="F68" s="13" t="s">
        <v>21</v>
      </c>
    </row>
    <row r="69" spans="1:6" ht="12.75" customHeight="1" x14ac:dyDescent="0.2">
      <c r="A69" s="12"/>
      <c r="C69" s="26" t="s">
        <v>32</v>
      </c>
      <c r="E69" s="26" t="s">
        <v>34</v>
      </c>
      <c r="F69" s="14">
        <v>206</v>
      </c>
    </row>
    <row r="70" spans="1:6" ht="12.75" customHeight="1" x14ac:dyDescent="0.2">
      <c r="A70" s="12"/>
      <c r="C70" s="24" t="s">
        <v>35</v>
      </c>
      <c r="D70" s="25" t="s">
        <v>36</v>
      </c>
      <c r="F70" s="13" t="s">
        <v>37</v>
      </c>
    </row>
    <row r="71" spans="1:6" ht="12.75" customHeight="1" x14ac:dyDescent="0.2">
      <c r="A71" s="12"/>
      <c r="E71" s="26" t="s">
        <v>38</v>
      </c>
      <c r="F71" s="14">
        <v>2208.48</v>
      </c>
    </row>
    <row r="72" spans="1:6" ht="12.75" customHeight="1" thickBot="1" x14ac:dyDescent="0.25">
      <c r="A72" s="15"/>
      <c r="B72" s="16"/>
      <c r="C72" s="16"/>
      <c r="D72" s="16"/>
      <c r="E72" s="16"/>
      <c r="F72" s="17"/>
    </row>
    <row r="73" spans="1:6" ht="12.75" customHeight="1" x14ac:dyDescent="0.2">
      <c r="A73" s="6" t="s">
        <v>25</v>
      </c>
      <c r="B73" s="23">
        <v>45815</v>
      </c>
      <c r="C73" s="7" t="s">
        <v>39</v>
      </c>
      <c r="D73" s="8">
        <v>880</v>
      </c>
      <c r="E73" s="8">
        <v>69.5</v>
      </c>
      <c r="F73" s="9">
        <v>5</v>
      </c>
    </row>
    <row r="74" spans="1:6" ht="12.75" customHeight="1" x14ac:dyDescent="0.2">
      <c r="A74" s="10" t="s">
        <v>24</v>
      </c>
      <c r="F74" s="11"/>
    </row>
    <row r="75" spans="1:6" ht="12.75" customHeight="1" x14ac:dyDescent="0.2">
      <c r="A75" s="12"/>
      <c r="C75" s="25" t="s">
        <v>23</v>
      </c>
      <c r="D75" s="27">
        <v>44</v>
      </c>
      <c r="F75" s="11"/>
    </row>
    <row r="76" spans="1:6" ht="12.75" customHeight="1" x14ac:dyDescent="0.2">
      <c r="A76" s="12"/>
      <c r="C76" s="24" t="s">
        <v>19</v>
      </c>
      <c r="D76" s="25" t="s">
        <v>20</v>
      </c>
      <c r="F76" s="13" t="s">
        <v>21</v>
      </c>
    </row>
    <row r="77" spans="1:6" ht="12.75" customHeight="1" x14ac:dyDescent="0.2">
      <c r="A77" s="12"/>
      <c r="E77" s="26" t="s">
        <v>22</v>
      </c>
      <c r="F77" s="14">
        <v>230</v>
      </c>
    </row>
    <row r="78" spans="1:6" ht="12.75" customHeight="1" x14ac:dyDescent="0.2">
      <c r="A78" s="12"/>
      <c r="C78" s="24" t="s">
        <v>40</v>
      </c>
      <c r="D78" s="25" t="s">
        <v>41</v>
      </c>
      <c r="F78" s="13" t="s">
        <v>37</v>
      </c>
    </row>
    <row r="79" spans="1:6" ht="12.75" customHeight="1" x14ac:dyDescent="0.2">
      <c r="A79" s="12"/>
      <c r="E79" s="26" t="s">
        <v>42</v>
      </c>
      <c r="F79" s="14">
        <v>381.67</v>
      </c>
    </row>
    <row r="80" spans="1:6" ht="12.75" customHeight="1" thickBot="1" x14ac:dyDescent="0.25">
      <c r="A80" s="15"/>
      <c r="B80" s="16"/>
      <c r="C80" s="16"/>
      <c r="D80" s="16"/>
      <c r="E80" s="16"/>
      <c r="F80" s="17"/>
    </row>
    <row r="81" spans="1:6" ht="12.75" customHeight="1" x14ac:dyDescent="0.2">
      <c r="A81" s="6" t="s">
        <v>43</v>
      </c>
      <c r="B81" s="7" t="s">
        <v>44</v>
      </c>
      <c r="C81" s="7" t="s">
        <v>45</v>
      </c>
      <c r="D81" s="8">
        <v>593.17999999999995</v>
      </c>
      <c r="E81" s="8">
        <v>75.099999999999994</v>
      </c>
      <c r="F81" s="9">
        <v>2.6</v>
      </c>
    </row>
    <row r="82" spans="1:6" ht="12.75" customHeight="1" x14ac:dyDescent="0.2">
      <c r="A82" s="10" t="s">
        <v>46</v>
      </c>
      <c r="F82" s="11"/>
    </row>
    <row r="83" spans="1:6" ht="12.75" customHeight="1" x14ac:dyDescent="0.2">
      <c r="A83" s="12"/>
      <c r="C83" s="25" t="s">
        <v>47</v>
      </c>
      <c r="D83" s="27">
        <v>2</v>
      </c>
      <c r="F83" s="11"/>
    </row>
    <row r="84" spans="1:6" ht="12.75" customHeight="1" x14ac:dyDescent="0.2">
      <c r="A84" s="12"/>
      <c r="C84" s="25" t="s">
        <v>48</v>
      </c>
      <c r="D84" s="27">
        <v>13.5</v>
      </c>
      <c r="F84" s="11"/>
    </row>
    <row r="85" spans="1:6" ht="12.75" customHeight="1" x14ac:dyDescent="0.2">
      <c r="A85" s="12"/>
      <c r="C85" s="24" t="s">
        <v>49</v>
      </c>
      <c r="D85" s="25" t="s">
        <v>50</v>
      </c>
      <c r="F85" s="13" t="s">
        <v>21</v>
      </c>
    </row>
    <row r="86" spans="1:6" ht="12.75" customHeight="1" x14ac:dyDescent="0.2">
      <c r="A86" s="12"/>
      <c r="C86" s="26" t="s">
        <v>32</v>
      </c>
      <c r="E86" s="26" t="s">
        <v>34</v>
      </c>
      <c r="F86" s="14">
        <v>268.5</v>
      </c>
    </row>
    <row r="87" spans="1:6" ht="12.75" customHeight="1" x14ac:dyDescent="0.2">
      <c r="A87" s="12"/>
      <c r="C87" s="24" t="s">
        <v>51</v>
      </c>
      <c r="D87" s="25" t="s">
        <v>52</v>
      </c>
      <c r="F87" s="13" t="s">
        <v>37</v>
      </c>
    </row>
    <row r="88" spans="1:6" ht="12.75" customHeight="1" x14ac:dyDescent="0.2">
      <c r="A88" s="12"/>
      <c r="E88" s="26" t="s">
        <v>53</v>
      </c>
      <c r="F88" s="14">
        <v>41.62</v>
      </c>
    </row>
    <row r="89" spans="1:6" ht="12.75" customHeight="1" x14ac:dyDescent="0.2">
      <c r="A89" s="12"/>
      <c r="C89" s="24" t="s">
        <v>54</v>
      </c>
      <c r="D89" s="25" t="s">
        <v>55</v>
      </c>
      <c r="F89" s="13" t="s">
        <v>37</v>
      </c>
    </row>
    <row r="90" spans="1:6" ht="12.75" customHeight="1" x14ac:dyDescent="0.2">
      <c r="A90" s="12"/>
      <c r="E90" s="26" t="s">
        <v>56</v>
      </c>
      <c r="F90" s="14">
        <v>135.34</v>
      </c>
    </row>
    <row r="91" spans="1:6" ht="12.75" customHeight="1" thickBot="1" x14ac:dyDescent="0.25">
      <c r="A91" s="15"/>
      <c r="B91" s="16"/>
      <c r="C91" s="16"/>
      <c r="D91" s="16"/>
      <c r="E91" s="16"/>
      <c r="F91" s="17"/>
    </row>
    <row r="92" spans="1:6" ht="12.75" customHeight="1" x14ac:dyDescent="0.2">
      <c r="A92" s="6" t="s">
        <v>43</v>
      </c>
      <c r="B92" s="7" t="s">
        <v>57</v>
      </c>
      <c r="C92" s="7" t="s">
        <v>45</v>
      </c>
      <c r="D92" s="8">
        <v>570.55999999999995</v>
      </c>
      <c r="E92" s="8">
        <v>74.099999999999994</v>
      </c>
      <c r="F92" s="9">
        <v>2.5</v>
      </c>
    </row>
    <row r="93" spans="1:6" ht="12.75" customHeight="1" x14ac:dyDescent="0.2">
      <c r="A93" s="10" t="s">
        <v>46</v>
      </c>
      <c r="F93" s="11"/>
    </row>
    <row r="94" spans="1:6" ht="12.75" customHeight="1" x14ac:dyDescent="0.2">
      <c r="A94" s="12"/>
      <c r="C94" s="25" t="s">
        <v>47</v>
      </c>
      <c r="D94" s="27">
        <v>2</v>
      </c>
      <c r="F94" s="11"/>
    </row>
    <row r="95" spans="1:6" ht="12.75" customHeight="1" x14ac:dyDescent="0.2">
      <c r="A95" s="12"/>
      <c r="C95" s="25" t="s">
        <v>48</v>
      </c>
      <c r="D95" s="27">
        <v>12</v>
      </c>
      <c r="F95" s="11"/>
    </row>
    <row r="96" spans="1:6" ht="12.75" customHeight="1" x14ac:dyDescent="0.2">
      <c r="A96" s="12"/>
      <c r="C96" s="24" t="s">
        <v>58</v>
      </c>
      <c r="D96" s="25" t="s">
        <v>59</v>
      </c>
      <c r="F96" s="13" t="s">
        <v>21</v>
      </c>
    </row>
    <row r="97" spans="1:6" ht="12.75" customHeight="1" x14ac:dyDescent="0.2">
      <c r="A97" s="12"/>
      <c r="C97" s="26" t="s">
        <v>32</v>
      </c>
      <c r="E97" s="26" t="s">
        <v>34</v>
      </c>
      <c r="F97" s="14">
        <v>212.5</v>
      </c>
    </row>
    <row r="98" spans="1:6" ht="12.75" customHeight="1" x14ac:dyDescent="0.2">
      <c r="A98" s="12"/>
      <c r="C98" s="24" t="s">
        <v>60</v>
      </c>
      <c r="D98" s="25" t="s">
        <v>61</v>
      </c>
      <c r="F98" s="13" t="s">
        <v>37</v>
      </c>
    </row>
    <row r="99" spans="1:6" ht="12.75" customHeight="1" x14ac:dyDescent="0.2">
      <c r="A99" s="12"/>
      <c r="E99" s="26" t="s">
        <v>62</v>
      </c>
      <c r="F99" s="14">
        <v>78.3</v>
      </c>
    </row>
    <row r="100" spans="1:6" ht="12.75" customHeight="1" x14ac:dyDescent="0.2">
      <c r="A100" s="12"/>
      <c r="C100" s="24" t="s">
        <v>63</v>
      </c>
      <c r="D100" s="25" t="s">
        <v>64</v>
      </c>
      <c r="F100" s="13" t="s">
        <v>37</v>
      </c>
    </row>
    <row r="101" spans="1:6" ht="12.75" customHeight="1" x14ac:dyDescent="0.2">
      <c r="A101" s="12"/>
      <c r="E101" s="26" t="s">
        <v>65</v>
      </c>
      <c r="F101" s="14">
        <v>132.27000000000001</v>
      </c>
    </row>
    <row r="102" spans="1:6" ht="12.75" customHeight="1" thickBot="1" x14ac:dyDescent="0.25">
      <c r="A102" s="15"/>
      <c r="B102" s="16"/>
      <c r="C102" s="16"/>
      <c r="D102" s="16"/>
      <c r="E102" s="16"/>
      <c r="F102" s="17"/>
    </row>
    <row r="103" spans="1:6" ht="12.75" customHeight="1" x14ac:dyDescent="0.2">
      <c r="A103" s="6" t="s">
        <v>66</v>
      </c>
      <c r="B103" s="7" t="s">
        <v>18</v>
      </c>
      <c r="C103" s="7" t="s">
        <v>67</v>
      </c>
      <c r="D103" s="8">
        <v>5190.6000000000004</v>
      </c>
      <c r="E103" s="8">
        <v>69.2</v>
      </c>
      <c r="F103" s="9">
        <v>5.5</v>
      </c>
    </row>
    <row r="104" spans="1:6" ht="12.75" customHeight="1" x14ac:dyDescent="0.2">
      <c r="A104" s="10" t="s">
        <v>46</v>
      </c>
      <c r="F104" s="11"/>
    </row>
    <row r="105" spans="1:6" ht="12.75" customHeight="1" x14ac:dyDescent="0.2">
      <c r="A105" s="12"/>
      <c r="C105" s="25" t="s">
        <v>48</v>
      </c>
      <c r="D105" s="27">
        <v>11.5</v>
      </c>
      <c r="F105" s="11"/>
    </row>
    <row r="106" spans="1:6" ht="12.75" customHeight="1" x14ac:dyDescent="0.2">
      <c r="A106" s="12"/>
      <c r="C106" s="25" t="s">
        <v>23</v>
      </c>
      <c r="D106" s="27">
        <v>271.5</v>
      </c>
      <c r="F106" s="11"/>
    </row>
    <row r="107" spans="1:6" ht="12.75" customHeight="1" x14ac:dyDescent="0.2">
      <c r="A107" s="12"/>
      <c r="C107" s="24" t="s">
        <v>19</v>
      </c>
      <c r="D107" s="25" t="s">
        <v>20</v>
      </c>
      <c r="F107" s="13" t="s">
        <v>21</v>
      </c>
    </row>
    <row r="108" spans="1:6" ht="12.75" customHeight="1" x14ac:dyDescent="0.2">
      <c r="A108" s="12"/>
      <c r="E108" s="26" t="s">
        <v>68</v>
      </c>
      <c r="F108" s="14">
        <v>523</v>
      </c>
    </row>
    <row r="109" spans="1:6" ht="12.75" customHeight="1" x14ac:dyDescent="0.2">
      <c r="A109" s="12"/>
      <c r="C109" s="24" t="s">
        <v>19</v>
      </c>
      <c r="D109" s="25" t="s">
        <v>20</v>
      </c>
      <c r="F109" s="13" t="s">
        <v>21</v>
      </c>
    </row>
    <row r="110" spans="1:6" ht="12.75" customHeight="1" x14ac:dyDescent="0.2">
      <c r="A110" s="12"/>
      <c r="E110" s="26" t="s">
        <v>22</v>
      </c>
      <c r="F110" s="14">
        <v>578</v>
      </c>
    </row>
    <row r="111" spans="1:6" ht="12.75" customHeight="1" x14ac:dyDescent="0.2">
      <c r="A111" s="12"/>
      <c r="C111" s="24" t="s">
        <v>40</v>
      </c>
      <c r="D111" s="25" t="s">
        <v>41</v>
      </c>
      <c r="F111" s="13" t="s">
        <v>37</v>
      </c>
    </row>
    <row r="112" spans="1:6" ht="12.75" customHeight="1" x14ac:dyDescent="0.2">
      <c r="A112" s="12"/>
      <c r="E112" s="26" t="s">
        <v>69</v>
      </c>
      <c r="F112" s="14">
        <v>147.43</v>
      </c>
    </row>
    <row r="113" spans="1:6" ht="12.75" customHeight="1" x14ac:dyDescent="0.2">
      <c r="A113" s="12"/>
      <c r="C113" s="24" t="s">
        <v>40</v>
      </c>
      <c r="D113" s="25" t="s">
        <v>41</v>
      </c>
      <c r="F113" s="13" t="s">
        <v>37</v>
      </c>
    </row>
    <row r="114" spans="1:6" ht="12.75" customHeight="1" thickBot="1" x14ac:dyDescent="0.25">
      <c r="A114" s="15"/>
      <c r="B114" s="16"/>
      <c r="C114" s="16"/>
      <c r="D114" s="16"/>
      <c r="E114" s="18" t="s">
        <v>42</v>
      </c>
      <c r="F114" s="19">
        <v>2342.9499999999998</v>
      </c>
    </row>
    <row r="115" spans="1:6" ht="12.75" customHeight="1" x14ac:dyDescent="0.2">
      <c r="A115" s="6" t="s">
        <v>43</v>
      </c>
      <c r="B115" s="7" t="s">
        <v>57</v>
      </c>
      <c r="C115" s="7" t="s">
        <v>45</v>
      </c>
      <c r="D115" s="8">
        <v>570.55999999999995</v>
      </c>
      <c r="E115" s="8">
        <v>74.099999999999994</v>
      </c>
      <c r="F115" s="9">
        <v>2.5</v>
      </c>
    </row>
    <row r="116" spans="1:6" ht="12.75" customHeight="1" x14ac:dyDescent="0.2">
      <c r="A116" s="10" t="s">
        <v>46</v>
      </c>
      <c r="F116" s="11"/>
    </row>
    <row r="117" spans="1:6" ht="12.75" customHeight="1" x14ac:dyDescent="0.2">
      <c r="A117" s="12"/>
      <c r="C117" s="25" t="s">
        <v>47</v>
      </c>
      <c r="D117" s="27" t="s">
        <v>72</v>
      </c>
      <c r="F117" s="11"/>
    </row>
    <row r="118" spans="1:6" ht="12.75" customHeight="1" x14ac:dyDescent="0.2">
      <c r="A118" s="12"/>
      <c r="C118" s="25" t="s">
        <v>48</v>
      </c>
      <c r="D118" s="27">
        <v>12</v>
      </c>
      <c r="F118" s="11"/>
    </row>
    <row r="119" spans="1:6" ht="12.75" customHeight="1" x14ac:dyDescent="0.2">
      <c r="A119" s="12"/>
      <c r="C119" s="24" t="s">
        <v>58</v>
      </c>
      <c r="D119" s="25" t="s">
        <v>59</v>
      </c>
      <c r="F119" s="13" t="s">
        <v>21</v>
      </c>
    </row>
    <row r="120" spans="1:6" ht="12.75" customHeight="1" x14ac:dyDescent="0.2">
      <c r="A120" s="12"/>
      <c r="C120" s="26" t="s">
        <v>32</v>
      </c>
      <c r="E120" s="26" t="s">
        <v>34</v>
      </c>
      <c r="F120" s="14">
        <v>212.5</v>
      </c>
    </row>
    <row r="121" spans="1:6" ht="12.75" customHeight="1" x14ac:dyDescent="0.2">
      <c r="A121" s="12"/>
      <c r="C121" s="24" t="s">
        <v>60</v>
      </c>
      <c r="D121" s="25" t="s">
        <v>61</v>
      </c>
      <c r="F121" s="13" t="s">
        <v>37</v>
      </c>
    </row>
    <row r="122" spans="1:6" ht="12.75" customHeight="1" x14ac:dyDescent="0.2">
      <c r="A122" s="12"/>
      <c r="E122" s="26" t="s">
        <v>62</v>
      </c>
      <c r="F122" s="14">
        <v>78.3</v>
      </c>
    </row>
    <row r="123" spans="1:6" ht="12.75" customHeight="1" x14ac:dyDescent="0.2">
      <c r="A123" s="12"/>
      <c r="C123" s="24" t="s">
        <v>63</v>
      </c>
      <c r="D123" s="25" t="s">
        <v>64</v>
      </c>
      <c r="F123" s="13" t="s">
        <v>37</v>
      </c>
    </row>
    <row r="124" spans="1:6" ht="12.75" customHeight="1" x14ac:dyDescent="0.2">
      <c r="A124" s="12"/>
      <c r="E124" s="26" t="s">
        <v>65</v>
      </c>
      <c r="F124" s="14">
        <v>132.27000000000001</v>
      </c>
    </row>
    <row r="125" spans="1:6" ht="12.75" customHeight="1" thickBot="1" x14ac:dyDescent="0.25">
      <c r="A125" s="15" t="s">
        <v>70</v>
      </c>
      <c r="B125" s="16"/>
      <c r="C125" s="16"/>
      <c r="D125" s="16"/>
      <c r="E125" s="16"/>
      <c r="F125" s="17"/>
    </row>
  </sheetData>
  <pageMargins left="0" right="0" top="0" bottom="0" header="0" footer="0"/>
  <pageSetup paperSize="0" fitToWidth="0" fitToHeight="0" orientation="landscape" horizontalDpi="0" verticalDpi="0" copies="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/>
  <dimension ref="A1:L1"/>
  <sheetViews>
    <sheetView workbookViewId="0">
      <selection activeCell="I31" sqref="A1:XFD1048576"/>
    </sheetView>
  </sheetViews>
  <sheetFormatPr defaultRowHeight="12.75" x14ac:dyDescent="0.2"/>
  <cols>
    <col min="1" max="1" width="6.7109375" style="22" bestFit="1" customWidth="1"/>
    <col min="2" max="2" width="7.140625" style="22" bestFit="1" customWidth="1"/>
    <col min="3" max="3" width="8" style="22" bestFit="1" customWidth="1"/>
    <col min="4" max="4" width="13.85546875" style="22" bestFit="1" customWidth="1"/>
    <col min="5" max="5" width="8.7109375" style="22" bestFit="1" customWidth="1"/>
    <col min="6" max="6" width="8.140625" style="22" bestFit="1" customWidth="1"/>
    <col min="7" max="10" width="8" style="22" bestFit="1" customWidth="1"/>
    <col min="11" max="11" width="7.85546875" style="22" bestFit="1" customWidth="1"/>
    <col min="12" max="12" width="8.7109375" style="22" bestFit="1" customWidth="1"/>
    <col min="13" max="16" width="9.140625" style="22"/>
    <col min="17" max="17" width="10.7109375" style="22" customWidth="1"/>
    <col min="18" max="16384" width="9.140625" style="22"/>
  </cols>
  <sheetData>
    <row r="1" spans="1:12" x14ac:dyDescent="0.2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Svodka</vt:lpstr>
      <vt:lpstr>Sheet1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Karpovets, Mykola</cp:lastModifiedBy>
  <dcterms:created xsi:type="dcterms:W3CDTF">2025-12-15T17:02:55Z</dcterms:created>
  <dcterms:modified xsi:type="dcterms:W3CDTF">2026-01-26T21:34:32Z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0175AD1A50BB8BE088FDCDA9AFF458337ED4009FE53DCFF42A438A370572D9D0464D1FC3E706B7C6A09D2829E61BA3F30B6AC619F68DA8F8FF23BA3D96640BBB734523B40CDBB8D3A6F773D6FD60D26453DDE9CCEE6C3DE886F9F722755885A4F2F9AEA7250DB5FF914B0211804CCB215C5D8FDE983641AA5F830C36F2CAA2D</vt:lpwstr>
  </property>
  <property fmtid="{D5CDD505-2E9C-101B-9397-08002B2CF9AE}" pid="3" name="Business Objects Context Information1">
    <vt:lpwstr>2C3317F67600BFC4ADABF14AE03E71332DBD3B50F300AFE929525972B2408B2E7EABC260F7B1658926A696275BEC3AFE8317D9DD9AB3BC459DE5038E8DCDB9F3E280983679688BAA10801FB0C54F31261DD706E34C969F5B8EAD397D4D4E407E4CE3D82D21AA5E4D81744AE183B6D401697B139B83DBF20086A3963A71FF023</vt:lpwstr>
  </property>
  <property fmtid="{D5CDD505-2E9C-101B-9397-08002B2CF9AE}" pid="4" name="Business Objects Context Information2">
    <vt:lpwstr>246FDD6D55F00C43E2A6620D49C9A335E84127A9F67D5DBD10E75F5FED769772636C97726F1DF4A581441D0B8E30761D0008A336EBE19DF1568FA0227C1F370001E36B64CDCFC8F01A1B9E98D06AD42ED6DAA336EBE19DF1568FA0227C1F370001E38FB0B29256E5950F24225DEAFB5AB7363DBAD0B0BA1762A370EFBFD5AF0</vt:lpwstr>
  </property>
  <property fmtid="{D5CDD505-2E9C-101B-9397-08002B2CF9AE}" pid="5" name="Business Objects Context Information3">
    <vt:lpwstr>88AB5A98A26DA3E415DF668FCCAB9E67047E6D1E77DE7324BE3A2A4582E529F43BB632D61D1533934D1F8A059DD5F163AED64EE3E2562A401D8E7B686DD0D7CC9BDCCA126103567A1C361D26361D78F8AE9AAAB353EFF3C30DE63189DA071B6D9C7C94320D59FDD538E3C94D3DBE7E4432DDC6147C79310EEB89536D08249F5</vt:lpwstr>
  </property>
  <property fmtid="{D5CDD505-2E9C-101B-9397-08002B2CF9AE}" pid="6" name="Business Objects Context Information4">
    <vt:lpwstr>0036FD9896E23FC7C7A9E30E7282AEB76F8802895C18A8D72825F075EF1F3EAF2D4AE647565CBA58A7C7415270170D95CBA155B2A8D2312E120FDC526FB703A2A583D2D450BE3AEB50F39F34E83F2E1D73233E3F6DD18BCD9E7C1E90A6B71B6EE16CAFF47462876345A5AE11447A2AE896DF86F5D4506776938E991041D3128</vt:lpwstr>
  </property>
  <property fmtid="{D5CDD505-2E9C-101B-9397-08002B2CF9AE}" pid="7" name="Business Objects Context Information5">
    <vt:lpwstr>673482333F6338C9AC3313F791CE3BFE6202B808BF25A5E1ABDE7583E7F19BB61F8ABD5DA7B3A3446BFE158BF99A933D8FD7ED1454F7A7160134AB4F8D4D872A487ACC4BE6D9006A643941E13ADDDCDC60052C161B700FB29E02F194D3C25708A7250217BF9BC2173B0870F8572EB195AE6FCCF6D71E62120B4175B95FAF482</vt:lpwstr>
  </property>
  <property fmtid="{D5CDD505-2E9C-101B-9397-08002B2CF9AE}" pid="8" name="Business Objects Context Information6">
    <vt:lpwstr>28C73F79B63D0DEC0E70D37FB64E8D4AC087997B9A54EA1A6A31EC832AEC87AF80283386C058BC106C3F2362D33F228518ED5278EE95E316C324820AC6A81F36773675F0</vt:lpwstr>
  </property>
</Properties>
</file>